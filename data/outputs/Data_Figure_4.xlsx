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Manuscript_datasets\"/>
    </mc:Choice>
  </mc:AlternateContent>
  <xr:revisionPtr revIDLastSave="0" documentId="13_ncr:1_{E0691299-C1AD-49FF-A00A-E7F287217E58}" xr6:coauthVersionLast="47" xr6:coauthVersionMax="47" xr10:uidLastSave="{00000000-0000-0000-0000-000000000000}"/>
  <bookViews>
    <workbookView xWindow="-25320" yWindow="2175" windowWidth="25440" windowHeight="15270" xr2:uid="{2606B934-8CA6-4691-A232-42A0D7768048}"/>
  </bookViews>
  <sheets>
    <sheet name="Fig 4" sheetId="2" r:id="rId1"/>
    <sheet name="Absolute values" sheetId="1" r:id="rId2"/>
    <sheet name="Values relative to IAM" sheetId="3" r:id="rId3"/>
    <sheet name="Values relative to baseli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3" l="1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C3" i="4"/>
  <c r="D3" i="4"/>
  <c r="E3" i="4"/>
  <c r="F3" i="4"/>
  <c r="G3" i="4"/>
  <c r="H3" i="4"/>
  <c r="I3" i="4"/>
  <c r="J3" i="4"/>
  <c r="K3" i="4"/>
  <c r="L3" i="4"/>
  <c r="M3" i="4"/>
  <c r="C4" i="4"/>
  <c r="D4" i="4"/>
  <c r="E4" i="4"/>
  <c r="F4" i="4"/>
  <c r="G4" i="4"/>
  <c r="H4" i="4"/>
  <c r="I4" i="4"/>
  <c r="J4" i="4"/>
  <c r="K4" i="4"/>
  <c r="L4" i="4"/>
  <c r="M4" i="4"/>
  <c r="C5" i="4"/>
  <c r="D5" i="4"/>
  <c r="E5" i="4"/>
  <c r="F5" i="4"/>
  <c r="G5" i="4"/>
  <c r="H5" i="4"/>
  <c r="I5" i="4"/>
  <c r="J5" i="4"/>
  <c r="K5" i="4"/>
  <c r="L5" i="4"/>
  <c r="M5" i="4"/>
  <c r="C6" i="4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B4" i="4"/>
  <c r="B5" i="4"/>
  <c r="B6" i="4"/>
  <c r="B7" i="4"/>
  <c r="B8" i="4"/>
  <c r="B9" i="4"/>
  <c r="B10" i="4"/>
  <c r="B11" i="4"/>
  <c r="B3" i="4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S4" i="3"/>
  <c r="R4" i="3"/>
  <c r="N5" i="3"/>
  <c r="O5" i="3"/>
  <c r="P5" i="3"/>
  <c r="Q5" i="3"/>
  <c r="N6" i="3"/>
  <c r="O6" i="3"/>
  <c r="P6" i="3"/>
  <c r="Q6" i="3"/>
  <c r="N7" i="3"/>
  <c r="O7" i="3"/>
  <c r="P7" i="3"/>
  <c r="Q7" i="3"/>
  <c r="N8" i="3"/>
  <c r="O8" i="3"/>
  <c r="P8" i="3"/>
  <c r="Q8" i="3"/>
  <c r="N9" i="3"/>
  <c r="O9" i="3"/>
  <c r="P9" i="3"/>
  <c r="Q9" i="3"/>
  <c r="N10" i="3"/>
  <c r="O10" i="3"/>
  <c r="P10" i="3"/>
  <c r="Q10" i="3"/>
  <c r="N11" i="3"/>
  <c r="O11" i="3"/>
  <c r="P11" i="3"/>
  <c r="Q11" i="3"/>
  <c r="N12" i="3"/>
  <c r="O12" i="3"/>
  <c r="P12" i="3"/>
  <c r="Q12" i="3"/>
  <c r="O4" i="3"/>
  <c r="P4" i="3"/>
  <c r="Q4" i="3"/>
  <c r="N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J9" i="3"/>
  <c r="K9" i="3"/>
  <c r="L9" i="3"/>
  <c r="M9" i="3"/>
  <c r="J10" i="3"/>
  <c r="K10" i="3"/>
  <c r="L10" i="3"/>
  <c r="M10" i="3"/>
  <c r="J11" i="3"/>
  <c r="K11" i="3"/>
  <c r="L11" i="3"/>
  <c r="M11" i="3"/>
  <c r="J12" i="3"/>
  <c r="K12" i="3"/>
  <c r="L12" i="3"/>
  <c r="M12" i="3"/>
  <c r="K4" i="3"/>
  <c r="L4" i="3"/>
  <c r="M4" i="3"/>
  <c r="J4" i="3"/>
  <c r="F5" i="3"/>
  <c r="G5" i="3"/>
  <c r="H5" i="3"/>
  <c r="I5" i="3"/>
  <c r="F6" i="3"/>
  <c r="G6" i="3"/>
  <c r="H6" i="3"/>
  <c r="I6" i="3"/>
  <c r="F7" i="3"/>
  <c r="G7" i="3"/>
  <c r="H7" i="3"/>
  <c r="I7" i="3"/>
  <c r="F8" i="3"/>
  <c r="G8" i="3"/>
  <c r="H8" i="3"/>
  <c r="I8" i="3"/>
  <c r="F9" i="3"/>
  <c r="G9" i="3"/>
  <c r="H9" i="3"/>
  <c r="I9" i="3"/>
  <c r="F10" i="3"/>
  <c r="G10" i="3"/>
  <c r="H10" i="3"/>
  <c r="I10" i="3"/>
  <c r="F11" i="3"/>
  <c r="G11" i="3"/>
  <c r="H11" i="3"/>
  <c r="I11" i="3"/>
  <c r="F12" i="3"/>
  <c r="G12" i="3"/>
  <c r="H12" i="3"/>
  <c r="I12" i="3"/>
  <c r="G4" i="3"/>
  <c r="H4" i="3"/>
  <c r="I4" i="3"/>
  <c r="F4" i="3"/>
  <c r="B5" i="3"/>
  <c r="B6" i="3"/>
  <c r="B7" i="3"/>
  <c r="B8" i="3"/>
  <c r="B9" i="3"/>
  <c r="B10" i="3"/>
  <c r="B11" i="3"/>
  <c r="B12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B4" i="3"/>
</calcChain>
</file>

<file path=xl/sharedStrings.xml><?xml version="1.0" encoding="utf-8"?>
<sst xmlns="http://schemas.openxmlformats.org/spreadsheetml/2006/main" count="102" uniqueCount="32">
  <si>
    <t>Scenarios</t>
  </si>
  <si>
    <t>Electricity (% of 2050 in underlying scenario)</t>
  </si>
  <si>
    <t>Biomass (% of 2050 in underlying scenario</t>
  </si>
  <si>
    <t>Land occupation (mega-km2)</t>
  </si>
  <si>
    <t>Freshwater withdrawal (km3)</t>
  </si>
  <si>
    <t>Direct air capture (MtCO2)</t>
  </si>
  <si>
    <t>Direct air capture (% of 2050 DACCS in underlying scenario)</t>
  </si>
  <si>
    <t>Sheet</t>
  </si>
  <si>
    <t>Description</t>
  </si>
  <si>
    <t>Freswhater withdrawal (% of 2050 freshwater withdrawn for industry in underlying scenario)</t>
  </si>
  <si>
    <t>Baseline</t>
  </si>
  <si>
    <t>Land occupation (% of 2050 energy crops area in underlying scenario)</t>
  </si>
  <si>
    <t>REMIND SSP2-RCP2.6</t>
  </si>
  <si>
    <t>REMIND SSP1-RCP2.9</t>
  </si>
  <si>
    <t>REMIND SSP2-NPi</t>
  </si>
  <si>
    <t>IMAGE SSP2-RCP2.6</t>
  </si>
  <si>
    <t>Electricity (kWh)</t>
  </si>
  <si>
    <t>Biomass (MJ)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</si>
  <si>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</si>
  <si>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</si>
  <si>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</si>
  <si>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</si>
  <si>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</si>
  <si>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</si>
  <si>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</si>
  <si>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</si>
  <si>
    <t>Reference value</t>
  </si>
  <si>
    <t>Absolute values</t>
  </si>
  <si>
    <t>avg over roadmaps</t>
  </si>
  <si>
    <t>Values relative to IAM</t>
  </si>
  <si>
    <t>Data displayed in Fig 4
Results sensitivity to choice of IAM-SSP-RCP
Results are displayed in relative terms (% of resource in underlying scenario)</t>
  </si>
  <si>
    <t>Data displayed in Fig 4 
Results sensitivity to choice of IAM-SSP-RCP
Results are displayed in absolute terms (unit)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</si>
</sst>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5" xfId="1" applyNumberFormat="1" applyFont="1" applyBorder="1"/>
    <xf numFmtId="0" fontId="2" fillId="0" borderId="1" xfId="1" applyNumberFormat="1" applyFont="1" applyBorder="1"/>
    <xf numFmtId="0" fontId="2" fillId="0" borderId="6" xfId="1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5" xfId="0" applyNumberFormat="1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164" fontId="3" fillId="0" borderId="5" xfId="1" applyNumberFormat="1" applyFont="1" applyBorder="1"/>
    <xf numFmtId="164" fontId="3" fillId="0" borderId="1" xfId="1" applyNumberFormat="1" applyFont="1" applyBorder="1"/>
    <xf numFmtId="164" fontId="3" fillId="0" borderId="6" xfId="1" applyNumberFormat="1" applyFont="1" applyBorder="1"/>
    <xf numFmtId="164" fontId="0" fillId="0" borderId="5" xfId="1" applyNumberFormat="1" applyFont="1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164" fontId="3" fillId="0" borderId="7" xfId="1" applyNumberFormat="1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9" fontId="0" fillId="0" borderId="5" xfId="1" applyFont="1" applyBorder="1"/>
    <xf numFmtId="165" fontId="4" fillId="0" borderId="5" xfId="0" applyNumberFormat="1" applyFont="1" applyBorder="1"/>
    <xf numFmtId="0" fontId="2" fillId="0" borderId="13" xfId="0" applyFont="1" applyBorder="1"/>
    <xf numFmtId="9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2" fillId="0" borderId="3" xfId="1" applyNumberFormat="1" applyFont="1" applyBorder="1" applyAlignment="1">
      <alignment horizontal="center"/>
    </xf>
    <xf numFmtId="0" fontId="2" fillId="0" borderId="4" xfId="1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2"/>
  <sheetViews>
    <sheetView tabSelected="1" workbookViewId="0">
      <selection activeCell="F12" sqref="F12"/>
    </sheetView>
  </sheetViews>
  <sheetFormatPr baseColWidth="10" defaultRowHeight="14.5" x14ac:dyDescent="0.35"/>
  <cols>
    <col min="1" max="1" width="24.81640625" bestFit="1" customWidth="1"/>
    <col min="2" max="2" width="53.1796875" bestFit="1" customWidth="1"/>
  </cols>
  <sheetData>
    <row r="9" spans="1:2" ht="15" thickBot="1" x14ac:dyDescent="0.4"/>
    <row r="10" spans="1:2" x14ac:dyDescent="0.35">
      <c r="A10" s="12" t="s">
        <v>7</v>
      </c>
      <c r="B10" s="11" t="s">
        <v>8</v>
      </c>
    </row>
    <row r="11" spans="1:2" ht="44" thickBot="1" x14ac:dyDescent="0.4">
      <c r="A11" s="35" t="s">
        <v>27</v>
      </c>
      <c r="B11" s="36" t="s">
        <v>31</v>
      </c>
    </row>
    <row r="12" spans="1:2" ht="58.5" thickBot="1" x14ac:dyDescent="0.4">
      <c r="A12" s="35" t="s">
        <v>29</v>
      </c>
      <c r="B12" s="36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U11"/>
  <sheetViews>
    <sheetView topLeftCell="B1" zoomScaleNormal="100" workbookViewId="0">
      <selection activeCell="G21" sqref="G21"/>
    </sheetView>
  </sheetViews>
  <sheetFormatPr baseColWidth="10" defaultColWidth="11.453125" defaultRowHeight="14.5" x14ac:dyDescent="0.35"/>
  <cols>
    <col min="1" max="1" width="15.1796875" bestFit="1" customWidth="1"/>
    <col min="2" max="3" width="17.7265625" bestFit="1" customWidth="1"/>
    <col min="4" max="4" width="14.7265625" bestFit="1" customWidth="1"/>
    <col min="5" max="5" width="16.7265625" bestFit="1" customWidth="1"/>
    <col min="6" max="7" width="17.7265625" bestFit="1" customWidth="1"/>
    <col min="8" max="8" width="14.7265625" bestFit="1" customWidth="1"/>
    <col min="9" max="9" width="16.7265625" bestFit="1" customWidth="1"/>
    <col min="10" max="11" width="17.7265625" bestFit="1" customWidth="1"/>
    <col min="12" max="12" width="14.7265625" bestFit="1" customWidth="1"/>
    <col min="13" max="13" width="16.7265625" bestFit="1" customWidth="1"/>
    <col min="14" max="15" width="17.7265625" bestFit="1" customWidth="1"/>
    <col min="16" max="16" width="14.7265625" bestFit="1" customWidth="1"/>
    <col min="17" max="17" width="16.7265625" bestFit="1" customWidth="1"/>
    <col min="18" max="19" width="17.7265625" bestFit="1" customWidth="1"/>
    <col min="20" max="20" width="14.7265625" bestFit="1" customWidth="1"/>
    <col min="21" max="21" width="16.7265625" bestFit="1" customWidth="1"/>
  </cols>
  <sheetData>
    <row r="1" spans="1:21" s="4" customFormat="1" x14ac:dyDescent="0.35">
      <c r="A1" s="1"/>
      <c r="B1" s="37" t="s">
        <v>16</v>
      </c>
      <c r="C1" s="38"/>
      <c r="D1" s="38"/>
      <c r="E1" s="39"/>
      <c r="F1" s="37" t="s">
        <v>17</v>
      </c>
      <c r="G1" s="38"/>
      <c r="H1" s="38"/>
      <c r="I1" s="39"/>
      <c r="J1" s="37" t="s">
        <v>3</v>
      </c>
      <c r="K1" s="38"/>
      <c r="L1" s="38"/>
      <c r="M1" s="39"/>
      <c r="N1" s="37" t="s">
        <v>4</v>
      </c>
      <c r="O1" s="38"/>
      <c r="P1" s="38"/>
      <c r="Q1" s="39"/>
      <c r="R1" s="37" t="s">
        <v>5</v>
      </c>
      <c r="S1" s="38"/>
      <c r="T1" s="38"/>
      <c r="U1" s="39"/>
    </row>
    <row r="2" spans="1:21" s="4" customFormat="1" x14ac:dyDescent="0.35">
      <c r="A2" s="2" t="s">
        <v>0</v>
      </c>
      <c r="B2" s="5" t="s">
        <v>12</v>
      </c>
      <c r="C2" s="6" t="s">
        <v>13</v>
      </c>
      <c r="D2" s="6" t="s">
        <v>14</v>
      </c>
      <c r="E2" s="7" t="s">
        <v>15</v>
      </c>
      <c r="F2" s="5" t="s">
        <v>12</v>
      </c>
      <c r="G2" s="6" t="s">
        <v>13</v>
      </c>
      <c r="H2" s="6" t="s">
        <v>14</v>
      </c>
      <c r="I2" s="7" t="s">
        <v>15</v>
      </c>
      <c r="J2" s="5" t="s">
        <v>12</v>
      </c>
      <c r="K2" s="6" t="s">
        <v>13</v>
      </c>
      <c r="L2" s="6" t="s">
        <v>14</v>
      </c>
      <c r="M2" s="7" t="s">
        <v>15</v>
      </c>
      <c r="N2" s="5" t="s">
        <v>12</v>
      </c>
      <c r="O2" s="6" t="s">
        <v>13</v>
      </c>
      <c r="P2" s="6" t="s">
        <v>14</v>
      </c>
      <c r="Q2" s="7" t="s">
        <v>15</v>
      </c>
      <c r="R2" s="5" t="s">
        <v>12</v>
      </c>
      <c r="S2" s="6" t="s">
        <v>13</v>
      </c>
      <c r="T2" s="6" t="s">
        <v>14</v>
      </c>
      <c r="U2" s="7" t="s">
        <v>15</v>
      </c>
    </row>
    <row r="3" spans="1:21" x14ac:dyDescent="0.35">
      <c r="A3" s="2" t="s">
        <v>10</v>
      </c>
      <c r="B3" s="13">
        <v>70000000000</v>
      </c>
      <c r="C3" s="14">
        <v>70000000000</v>
      </c>
      <c r="D3" s="14">
        <v>60000000000</v>
      </c>
      <c r="E3" s="15">
        <v>50000000000</v>
      </c>
      <c r="F3" s="16">
        <v>0</v>
      </c>
      <c r="G3" s="17">
        <v>0</v>
      </c>
      <c r="H3" s="17">
        <v>0</v>
      </c>
      <c r="I3" s="18">
        <v>0</v>
      </c>
      <c r="J3" s="19">
        <v>0.01</v>
      </c>
      <c r="K3" s="20">
        <v>0.01</v>
      </c>
      <c r="L3" s="20">
        <v>0.01</v>
      </c>
      <c r="M3" s="15">
        <v>0.01</v>
      </c>
      <c r="N3" s="19">
        <v>6.55</v>
      </c>
      <c r="O3" s="20">
        <v>7.35</v>
      </c>
      <c r="P3" s="20">
        <v>6.66</v>
      </c>
      <c r="Q3" s="15">
        <v>7.59</v>
      </c>
      <c r="R3" s="19">
        <v>0</v>
      </c>
      <c r="S3" s="20">
        <v>0</v>
      </c>
      <c r="T3" s="20">
        <v>0</v>
      </c>
      <c r="U3" s="21">
        <v>0</v>
      </c>
    </row>
    <row r="4" spans="1:21" x14ac:dyDescent="0.35">
      <c r="A4" s="2" t="s">
        <v>18</v>
      </c>
      <c r="B4" s="13">
        <v>1440000000000</v>
      </c>
      <c r="C4" s="14">
        <v>1450000000000</v>
      </c>
      <c r="D4" s="14">
        <v>1360000000000</v>
      </c>
      <c r="E4" s="15">
        <v>1230000000000</v>
      </c>
      <c r="F4" s="13">
        <v>4660000000000</v>
      </c>
      <c r="G4" s="14">
        <v>4660000000000</v>
      </c>
      <c r="H4" s="14">
        <v>4660000000000</v>
      </c>
      <c r="I4" s="15">
        <v>4660000000000</v>
      </c>
      <c r="J4" s="19">
        <v>0.66</v>
      </c>
      <c r="K4" s="20">
        <v>0.71</v>
      </c>
      <c r="L4" s="20">
        <v>0.69</v>
      </c>
      <c r="M4" s="15">
        <v>0.85</v>
      </c>
      <c r="N4" s="19">
        <v>14.91</v>
      </c>
      <c r="O4" s="20">
        <v>19.57</v>
      </c>
      <c r="P4" s="20">
        <v>17.59</v>
      </c>
      <c r="Q4" s="15">
        <v>52.17</v>
      </c>
      <c r="R4" s="19">
        <v>134.41</v>
      </c>
      <c r="S4" s="20">
        <v>134.41</v>
      </c>
      <c r="T4" s="20">
        <v>134.41</v>
      </c>
      <c r="U4" s="21">
        <v>134.41</v>
      </c>
    </row>
    <row r="5" spans="1:21" x14ac:dyDescent="0.35">
      <c r="A5" s="2" t="s">
        <v>19</v>
      </c>
      <c r="B5" s="13">
        <v>3250000000000</v>
      </c>
      <c r="C5" s="14">
        <v>3280000000000</v>
      </c>
      <c r="D5" s="14">
        <v>3060000000000</v>
      </c>
      <c r="E5" s="15">
        <v>2780000000000</v>
      </c>
      <c r="F5" s="13">
        <v>13290000000000</v>
      </c>
      <c r="G5" s="14">
        <v>13290000000000</v>
      </c>
      <c r="H5" s="14">
        <v>13290000000000</v>
      </c>
      <c r="I5" s="15">
        <v>13290000000000</v>
      </c>
      <c r="J5" s="19">
        <v>1.78</v>
      </c>
      <c r="K5" s="20">
        <v>1.9</v>
      </c>
      <c r="L5" s="20">
        <v>1.87</v>
      </c>
      <c r="M5" s="15">
        <v>2.2200000000000002</v>
      </c>
      <c r="N5" s="19">
        <v>26.58</v>
      </c>
      <c r="O5" s="20">
        <v>37.14</v>
      </c>
      <c r="P5" s="20">
        <v>32.74</v>
      </c>
      <c r="Q5" s="15">
        <v>110.97</v>
      </c>
      <c r="R5" s="19">
        <v>302.35000000000002</v>
      </c>
      <c r="S5" s="20">
        <v>302.35000000000002</v>
      </c>
      <c r="T5" s="20">
        <v>302.35000000000002</v>
      </c>
      <c r="U5" s="21">
        <v>302.35000000000002</v>
      </c>
    </row>
    <row r="6" spans="1:21" x14ac:dyDescent="0.35">
      <c r="A6" s="2" t="s">
        <v>20</v>
      </c>
      <c r="B6" s="13">
        <v>8710000000000</v>
      </c>
      <c r="C6" s="14">
        <v>8790000000000</v>
      </c>
      <c r="D6" s="14">
        <v>8350000000000</v>
      </c>
      <c r="E6" s="15">
        <v>7590000000000</v>
      </c>
      <c r="F6" s="13">
        <v>10300000000000</v>
      </c>
      <c r="G6" s="14">
        <v>10300000000000</v>
      </c>
      <c r="H6" s="14">
        <v>10300000000000</v>
      </c>
      <c r="I6" s="15">
        <v>10300000000000</v>
      </c>
      <c r="J6" s="19">
        <v>2.04</v>
      </c>
      <c r="K6" s="20">
        <v>2.36</v>
      </c>
      <c r="L6" s="20">
        <v>2.2799999999999998</v>
      </c>
      <c r="M6" s="15">
        <v>3.28</v>
      </c>
      <c r="N6" s="19">
        <v>53.78</v>
      </c>
      <c r="O6" s="20">
        <v>72.45</v>
      </c>
      <c r="P6" s="20">
        <v>69.209999999999994</v>
      </c>
      <c r="Q6" s="18">
        <v>286.69</v>
      </c>
      <c r="R6" s="19">
        <v>878.8</v>
      </c>
      <c r="S6" s="20">
        <v>878.8</v>
      </c>
      <c r="T6" s="20">
        <v>878.8</v>
      </c>
      <c r="U6" s="21">
        <v>878.8</v>
      </c>
    </row>
    <row r="7" spans="1:21" x14ac:dyDescent="0.35">
      <c r="A7" s="2" t="s">
        <v>21</v>
      </c>
      <c r="B7" s="13">
        <v>5360000000000</v>
      </c>
      <c r="C7" s="14">
        <v>5410000000000</v>
      </c>
      <c r="D7" s="14">
        <v>5110000000000</v>
      </c>
      <c r="E7" s="15">
        <v>4660000000000</v>
      </c>
      <c r="F7" s="13">
        <v>8790000000000</v>
      </c>
      <c r="G7" s="14">
        <v>8790000000000</v>
      </c>
      <c r="H7" s="14">
        <v>8790000000000</v>
      </c>
      <c r="I7" s="15">
        <v>8790000000000</v>
      </c>
      <c r="J7" s="19">
        <v>1.52</v>
      </c>
      <c r="K7" s="20">
        <v>1.72</v>
      </c>
      <c r="L7" s="20">
        <v>1.67</v>
      </c>
      <c r="M7" s="15">
        <v>2.29</v>
      </c>
      <c r="N7" s="19">
        <v>36.659999999999997</v>
      </c>
      <c r="O7" s="20">
        <v>49.4</v>
      </c>
      <c r="P7" s="20">
        <v>46.4</v>
      </c>
      <c r="Q7" s="18">
        <v>180.84</v>
      </c>
      <c r="R7" s="19">
        <v>557.57000000000005</v>
      </c>
      <c r="S7" s="20">
        <v>557.57000000000005</v>
      </c>
      <c r="T7" s="20">
        <v>557.57000000000005</v>
      </c>
      <c r="U7" s="21">
        <v>557.57000000000005</v>
      </c>
    </row>
    <row r="8" spans="1:21" x14ac:dyDescent="0.35">
      <c r="A8" s="2" t="s">
        <v>22</v>
      </c>
      <c r="B8" s="13">
        <v>980000000000</v>
      </c>
      <c r="C8" s="14">
        <v>1000000000000</v>
      </c>
      <c r="D8" s="14">
        <v>820000000000</v>
      </c>
      <c r="E8" s="15">
        <v>720000000000</v>
      </c>
      <c r="F8" s="13">
        <v>24880000000000</v>
      </c>
      <c r="G8" s="14">
        <v>24880000000000</v>
      </c>
      <c r="H8" s="14">
        <v>24880000000000</v>
      </c>
      <c r="I8" s="15">
        <v>24880000000000</v>
      </c>
      <c r="J8" s="19">
        <v>2.78</v>
      </c>
      <c r="K8" s="20">
        <v>2.82</v>
      </c>
      <c r="L8" s="20">
        <v>2.8</v>
      </c>
      <c r="M8" s="15">
        <v>2.87</v>
      </c>
      <c r="N8" s="19">
        <v>17.36</v>
      </c>
      <c r="O8" s="20">
        <v>27.77</v>
      </c>
      <c r="P8" s="20">
        <v>19.88</v>
      </c>
      <c r="Q8" s="18">
        <v>35.15</v>
      </c>
      <c r="R8" s="19">
        <v>0</v>
      </c>
      <c r="S8" s="20">
        <v>0</v>
      </c>
      <c r="T8" s="20">
        <v>0</v>
      </c>
      <c r="U8" s="21">
        <v>0</v>
      </c>
    </row>
    <row r="9" spans="1:21" x14ac:dyDescent="0.35">
      <c r="A9" s="2" t="s">
        <v>23</v>
      </c>
      <c r="B9" s="13">
        <v>640000000000</v>
      </c>
      <c r="C9" s="14">
        <v>650000000000</v>
      </c>
      <c r="D9" s="14">
        <v>550000000000</v>
      </c>
      <c r="E9" s="15">
        <v>480000000000</v>
      </c>
      <c r="F9" s="13">
        <v>19270000000000</v>
      </c>
      <c r="G9" s="14">
        <v>19270000000000</v>
      </c>
      <c r="H9" s="14">
        <v>19270000000000</v>
      </c>
      <c r="I9" s="15">
        <v>19270000000000</v>
      </c>
      <c r="J9" s="19">
        <v>6.68</v>
      </c>
      <c r="K9" s="20">
        <v>6.71</v>
      </c>
      <c r="L9" s="20">
        <v>6.68</v>
      </c>
      <c r="M9" s="15">
        <v>6.72</v>
      </c>
      <c r="N9" s="19">
        <v>31.03</v>
      </c>
      <c r="O9" s="20">
        <v>40.700000000000003</v>
      </c>
      <c r="P9" s="20">
        <v>32.68</v>
      </c>
      <c r="Q9" s="18">
        <v>42.54</v>
      </c>
      <c r="R9" s="19">
        <v>0</v>
      </c>
      <c r="S9" s="20">
        <v>0</v>
      </c>
      <c r="T9" s="20">
        <v>0</v>
      </c>
      <c r="U9" s="21">
        <v>0</v>
      </c>
    </row>
    <row r="10" spans="1:21" x14ac:dyDescent="0.35">
      <c r="A10" s="2" t="s">
        <v>24</v>
      </c>
      <c r="B10" s="13">
        <v>14120000000000</v>
      </c>
      <c r="C10" s="14">
        <v>14250000000000</v>
      </c>
      <c r="D10" s="14">
        <v>13580000000000</v>
      </c>
      <c r="E10" s="15">
        <v>12420000000000</v>
      </c>
      <c r="F10" s="16">
        <v>0</v>
      </c>
      <c r="G10" s="17">
        <v>0</v>
      </c>
      <c r="H10" s="17">
        <v>0</v>
      </c>
      <c r="I10" s="18">
        <v>0</v>
      </c>
      <c r="J10" s="19">
        <v>1.51</v>
      </c>
      <c r="K10" s="20">
        <v>2.04</v>
      </c>
      <c r="L10" s="20">
        <v>1.91</v>
      </c>
      <c r="M10" s="15">
        <v>3.6</v>
      </c>
      <c r="N10" s="19">
        <v>80.959999999999994</v>
      </c>
      <c r="O10" s="20">
        <v>105.92</v>
      </c>
      <c r="P10" s="20">
        <v>105.91</v>
      </c>
      <c r="Q10" s="18">
        <v>470.32</v>
      </c>
      <c r="R10" s="19">
        <v>1577.85</v>
      </c>
      <c r="S10" s="20">
        <v>1577.85</v>
      </c>
      <c r="T10" s="20">
        <v>1577.85</v>
      </c>
      <c r="U10" s="21">
        <v>1577.85</v>
      </c>
    </row>
    <row r="11" spans="1:21" ht="15" thickBot="1" x14ac:dyDescent="0.4">
      <c r="A11" s="3" t="s">
        <v>25</v>
      </c>
      <c r="B11" s="22">
        <v>13680000000000</v>
      </c>
      <c r="C11" s="23">
        <v>13680000000000</v>
      </c>
      <c r="D11" s="23">
        <v>13660000000000</v>
      </c>
      <c r="E11" s="24">
        <v>13650000000000</v>
      </c>
      <c r="F11" s="25">
        <v>0</v>
      </c>
      <c r="G11" s="26">
        <v>0</v>
      </c>
      <c r="H11" s="26">
        <v>0</v>
      </c>
      <c r="I11" s="27">
        <v>0</v>
      </c>
      <c r="J11" s="28">
        <v>0.64</v>
      </c>
      <c r="K11" s="29">
        <v>0.66</v>
      </c>
      <c r="L11" s="29">
        <v>0.65</v>
      </c>
      <c r="M11" s="24">
        <v>0.68</v>
      </c>
      <c r="N11" s="28">
        <v>34.1</v>
      </c>
      <c r="O11" s="29">
        <v>26.94</v>
      </c>
      <c r="P11" s="29">
        <v>35.89</v>
      </c>
      <c r="Q11" s="27">
        <v>46.44</v>
      </c>
      <c r="R11" s="28">
        <v>1577.85</v>
      </c>
      <c r="S11" s="29">
        <v>1577.85</v>
      </c>
      <c r="T11" s="29">
        <v>1577.85</v>
      </c>
      <c r="U11" s="30">
        <v>1577.85</v>
      </c>
    </row>
  </sheetData>
  <mergeCells count="5">
    <mergeCell ref="R1:U1"/>
    <mergeCell ref="N1:Q1"/>
    <mergeCell ref="B1:E1"/>
    <mergeCell ref="F1:I1"/>
    <mergeCell ref="J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8DD9-4E31-8D42-830B-A5FB605FDB7C}">
  <dimension ref="A1:U13"/>
  <sheetViews>
    <sheetView workbookViewId="0">
      <selection activeCell="U21" sqref="U21"/>
    </sheetView>
  </sheetViews>
  <sheetFormatPr baseColWidth="10" defaultRowHeight="14.5" x14ac:dyDescent="0.35"/>
  <cols>
    <col min="1" max="1" width="15.1796875" bestFit="1" customWidth="1"/>
    <col min="2" max="2" width="17.7265625" bestFit="1" customWidth="1"/>
    <col min="3" max="3" width="17.7265625" customWidth="1"/>
    <col min="4" max="4" width="14.7265625" customWidth="1"/>
    <col min="5" max="5" width="16.7265625" customWidth="1"/>
    <col min="6" max="6" width="17.7265625" bestFit="1" customWidth="1"/>
    <col min="7" max="7" width="17.7265625" customWidth="1"/>
    <col min="8" max="8" width="14.7265625" customWidth="1"/>
    <col min="9" max="9" width="16.7265625" customWidth="1"/>
    <col min="10" max="10" width="17.7265625" bestFit="1" customWidth="1"/>
    <col min="11" max="11" width="17.7265625" customWidth="1"/>
    <col min="12" max="12" width="14.7265625" customWidth="1"/>
    <col min="13" max="13" width="16.7265625" customWidth="1"/>
    <col min="14" max="14" width="17.7265625" bestFit="1" customWidth="1"/>
    <col min="15" max="15" width="17.7265625" customWidth="1"/>
    <col min="16" max="16" width="14.7265625" customWidth="1"/>
    <col min="17" max="17" width="16.7265625" customWidth="1"/>
    <col min="18" max="19" width="19.7265625" bestFit="1" customWidth="1"/>
    <col min="20" max="20" width="16.81640625" bestFit="1" customWidth="1"/>
    <col min="21" max="21" width="25.7265625" customWidth="1"/>
  </cols>
  <sheetData>
    <row r="1" spans="1:21" x14ac:dyDescent="0.35">
      <c r="B1" s="40" t="s">
        <v>1</v>
      </c>
      <c r="C1" s="41"/>
      <c r="D1" s="41"/>
      <c r="E1" s="42"/>
      <c r="F1" s="40" t="s">
        <v>2</v>
      </c>
      <c r="G1" s="41"/>
      <c r="H1" s="41"/>
      <c r="I1" s="42"/>
      <c r="J1" s="37" t="s">
        <v>11</v>
      </c>
      <c r="K1" s="38"/>
      <c r="L1" s="38"/>
      <c r="M1" s="39"/>
      <c r="N1" s="37" t="s">
        <v>9</v>
      </c>
      <c r="O1" s="38"/>
      <c r="P1" s="38"/>
      <c r="Q1" s="39"/>
      <c r="R1" s="37" t="s">
        <v>6</v>
      </c>
      <c r="S1" s="38"/>
      <c r="T1" s="38"/>
      <c r="U1" s="39"/>
    </row>
    <row r="2" spans="1:21" x14ac:dyDescent="0.35">
      <c r="B2" s="8" t="s">
        <v>12</v>
      </c>
      <c r="C2" s="9" t="s">
        <v>13</v>
      </c>
      <c r="D2" s="9" t="s">
        <v>14</v>
      </c>
      <c r="E2" s="10" t="s">
        <v>15</v>
      </c>
      <c r="F2" s="8" t="s">
        <v>12</v>
      </c>
      <c r="G2" s="9" t="s">
        <v>13</v>
      </c>
      <c r="H2" s="9" t="s">
        <v>14</v>
      </c>
      <c r="I2" s="10" t="s">
        <v>15</v>
      </c>
      <c r="J2" s="5" t="s">
        <v>12</v>
      </c>
      <c r="K2" s="6" t="s">
        <v>13</v>
      </c>
      <c r="L2" s="6" t="s">
        <v>14</v>
      </c>
      <c r="M2" s="7" t="s">
        <v>15</v>
      </c>
      <c r="N2" s="5" t="s">
        <v>12</v>
      </c>
      <c r="O2" s="6" t="s">
        <v>13</v>
      </c>
      <c r="P2" s="6" t="s">
        <v>14</v>
      </c>
      <c r="Q2" s="7" t="s">
        <v>15</v>
      </c>
      <c r="R2" s="5" t="s">
        <v>12</v>
      </c>
      <c r="S2" s="6" t="s">
        <v>13</v>
      </c>
      <c r="T2" s="6" t="s">
        <v>14</v>
      </c>
      <c r="U2" s="7" t="s">
        <v>15</v>
      </c>
    </row>
    <row r="3" spans="1:21" x14ac:dyDescent="0.35">
      <c r="A3" t="s">
        <v>26</v>
      </c>
      <c r="B3" s="8">
        <v>195.77330000000001</v>
      </c>
      <c r="C3" s="9">
        <v>222.1773</v>
      </c>
      <c r="D3" s="9">
        <v>181.73495</v>
      </c>
      <c r="E3" s="10">
        <v>138.72020309999999</v>
      </c>
      <c r="F3" s="8">
        <v>105.8032</v>
      </c>
      <c r="G3" s="9">
        <v>128.66489999999999</v>
      </c>
      <c r="H3" s="9">
        <v>53.015250000000002</v>
      </c>
      <c r="I3" s="10">
        <v>165.748457</v>
      </c>
      <c r="J3">
        <v>1.320505</v>
      </c>
      <c r="K3">
        <v>2.0032519999999998</v>
      </c>
      <c r="L3">
        <v>3.9607000000000003E-2</v>
      </c>
      <c r="M3">
        <v>1.96338463</v>
      </c>
      <c r="N3">
        <v>566</v>
      </c>
      <c r="O3">
        <v>453</v>
      </c>
      <c r="P3">
        <v>566</v>
      </c>
      <c r="Q3">
        <v>566</v>
      </c>
      <c r="R3">
        <v>281.51280000000003</v>
      </c>
      <c r="S3">
        <v>4.9676999999999998</v>
      </c>
    </row>
    <row r="4" spans="1:21" x14ac:dyDescent="0.35">
      <c r="A4" s="2" t="s">
        <v>10</v>
      </c>
      <c r="B4" s="31">
        <f>'Absolute values'!B3*0.0000000000036/B$3</f>
        <v>1.2872031068588005E-3</v>
      </c>
      <c r="C4" s="31">
        <f>'Absolute values'!C3*0.0000000000036/C$3</f>
        <v>1.1342292844498515E-3</v>
      </c>
      <c r="D4" s="31">
        <f>'Absolute values'!D3*0.0000000000036/D$3</f>
        <v>1.1885440857688629E-3</v>
      </c>
      <c r="E4" s="31">
        <f>'Absolute values'!E3*0.0000000000036/E$3</f>
        <v>1.2975759548898758E-3</v>
      </c>
      <c r="F4" s="31">
        <f>'Absolute values'!F3*0.000000000001/F$3</f>
        <v>0</v>
      </c>
      <c r="G4" s="31">
        <f>'Absolute values'!G3*0.000000000001/G$3</f>
        <v>0</v>
      </c>
      <c r="H4" s="31">
        <f>'Absolute values'!H3*0.000000000001/H$3</f>
        <v>0</v>
      </c>
      <c r="I4" s="31">
        <f>'Absolute values'!I3*0.000000000001/I$3</f>
        <v>0</v>
      </c>
      <c r="J4" s="31">
        <f>'Absolute values'!J3/J$3</f>
        <v>7.5728603829595493E-3</v>
      </c>
      <c r="K4" s="31">
        <f>'Absolute values'!K3/K$3</f>
        <v>4.9918831979201828E-3</v>
      </c>
      <c r="L4" s="31">
        <f>'Absolute values'!L3/L$3</f>
        <v>0.25248062211225286</v>
      </c>
      <c r="M4" s="31">
        <f>'Absolute values'!M3/M$3</f>
        <v>5.093245534880244E-3</v>
      </c>
      <c r="N4" s="31">
        <f>'Absolute values'!N3/N$3</f>
        <v>1.157243816254417E-2</v>
      </c>
      <c r="O4" s="31">
        <f>'Absolute values'!O3/O$3</f>
        <v>1.6225165562913906E-2</v>
      </c>
      <c r="P4" s="31">
        <f>'Absolute values'!P3/P$3</f>
        <v>1.176678445229682E-2</v>
      </c>
      <c r="Q4" s="31">
        <f>'Absolute values'!Q3/Q$3</f>
        <v>1.3409893992932862E-2</v>
      </c>
      <c r="R4" s="31">
        <f>'Absolute values'!R3/R$3</f>
        <v>0</v>
      </c>
      <c r="S4" s="31">
        <f>'Absolute values'!S3/S$3</f>
        <v>0</v>
      </c>
      <c r="T4" s="20"/>
      <c r="U4" s="21"/>
    </row>
    <row r="5" spans="1:21" x14ac:dyDescent="0.35">
      <c r="A5" s="2" t="s">
        <v>18</v>
      </c>
      <c r="B5" s="31">
        <f>'Absolute values'!B4*0.0000000000036/B$3</f>
        <v>2.6479606769666753E-2</v>
      </c>
      <c r="C5" s="31">
        <f>'Absolute values'!C4*0.0000000000036/C$3</f>
        <v>2.3494749463604067E-2</v>
      </c>
      <c r="D5" s="31">
        <f>'Absolute values'!D4*0.0000000000036/D$3</f>
        <v>2.6940332610760891E-2</v>
      </c>
      <c r="E5" s="31">
        <f>'Absolute values'!E4*0.0000000000036/E$3</f>
        <v>3.1920368490290944E-2</v>
      </c>
      <c r="F5" s="31">
        <f>'Absolute values'!F4*0.000000000001/F$3</f>
        <v>4.4044036475267286E-2</v>
      </c>
      <c r="G5" s="31">
        <f>'Absolute values'!G4*0.000000000001/G$3</f>
        <v>3.6218113875656849E-2</v>
      </c>
      <c r="H5" s="31">
        <f>'Absolute values'!H4*0.000000000001/H$3</f>
        <v>8.7899236540429401E-2</v>
      </c>
      <c r="I5" s="31">
        <f>'Absolute values'!I4*0.000000000001/I$3</f>
        <v>2.8114892194743026E-2</v>
      </c>
      <c r="J5" s="31">
        <f>'Absolute values'!J4/J$3</f>
        <v>0.49980878527533029</v>
      </c>
      <c r="K5" s="31">
        <f>'Absolute values'!K4/K$3</f>
        <v>0.35442370705233295</v>
      </c>
      <c r="L5" s="31">
        <f>'Absolute values'!L4/L$3</f>
        <v>17.421162925745445</v>
      </c>
      <c r="M5" s="31">
        <f>'Absolute values'!M4/M$3</f>
        <v>0.43292587046482073</v>
      </c>
      <c r="N5" s="31">
        <f>'Absolute values'!N4/N$3</f>
        <v>2.6342756183745583E-2</v>
      </c>
      <c r="O5" s="31">
        <f>'Absolute values'!O4/O$3</f>
        <v>4.3200883002207507E-2</v>
      </c>
      <c r="P5" s="31">
        <f>'Absolute values'!P4/P$3</f>
        <v>3.1077738515901059E-2</v>
      </c>
      <c r="Q5" s="31">
        <f>'Absolute values'!Q4/Q$3</f>
        <v>9.2173144876325094E-2</v>
      </c>
      <c r="R5" s="31">
        <f>'Absolute values'!R4/R$3</f>
        <v>0.47745608725429173</v>
      </c>
      <c r="S5" s="31">
        <f>'Absolute values'!S4/S$3</f>
        <v>27.056786843005817</v>
      </c>
      <c r="T5" s="20"/>
      <c r="U5" s="21"/>
    </row>
    <row r="6" spans="1:21" x14ac:dyDescent="0.35">
      <c r="A6" s="2" t="s">
        <v>19</v>
      </c>
      <c r="B6" s="31">
        <f>'Absolute values'!B5*0.0000000000036/B$3</f>
        <v>5.9763001389872873E-2</v>
      </c>
      <c r="C6" s="31">
        <f>'Absolute values'!C5*0.0000000000036/C$3</f>
        <v>5.3146743614221614E-2</v>
      </c>
      <c r="D6" s="31">
        <f>'Absolute values'!D5*0.0000000000036/D$3</f>
        <v>6.0615748374212006E-2</v>
      </c>
      <c r="E6" s="31">
        <f>'Absolute values'!E5*0.0000000000036/E$3</f>
        <v>7.2145223091877098E-2</v>
      </c>
      <c r="F6" s="31">
        <f>'Absolute values'!F5*0.000000000001/F$3</f>
        <v>0.12561056754427086</v>
      </c>
      <c r="G6" s="31">
        <f>'Absolute values'!G5*0.000000000001/G$3</f>
        <v>0.10329157369259215</v>
      </c>
      <c r="H6" s="31">
        <f>'Absolute values'!H5*0.000000000001/H$3</f>
        <v>0.25068258661422888</v>
      </c>
      <c r="I6" s="31">
        <f>'Absolute values'!I5*0.000000000001/I$3</f>
        <v>8.0181741903033218E-2</v>
      </c>
      <c r="J6" s="31">
        <f>'Absolute values'!J5/J$3</f>
        <v>1.3479691481667999</v>
      </c>
      <c r="K6" s="31">
        <f>'Absolute values'!K5/K$3</f>
        <v>0.94845780760483456</v>
      </c>
      <c r="L6" s="31">
        <f>'Absolute values'!L5/L$3</f>
        <v>47.213876334991291</v>
      </c>
      <c r="M6" s="31">
        <f>'Absolute values'!M5/M$3</f>
        <v>1.1307005087434143</v>
      </c>
      <c r="N6" s="31">
        <f>'Absolute values'!N5/N$3</f>
        <v>4.6961130742049467E-2</v>
      </c>
      <c r="O6" s="31">
        <f>'Absolute values'!O5/O$3</f>
        <v>8.1986754966887412E-2</v>
      </c>
      <c r="P6" s="31">
        <f>'Absolute values'!P5/P$3</f>
        <v>5.7844522968197885E-2</v>
      </c>
      <c r="Q6" s="31">
        <f>'Absolute values'!Q5/Q$3</f>
        <v>0.19606007067137809</v>
      </c>
      <c r="R6" s="31">
        <f>'Absolute values'!R5/R$3</f>
        <v>1.0740186591870777</v>
      </c>
      <c r="S6" s="31">
        <f>'Absolute values'!S5/S$3</f>
        <v>60.863176117720478</v>
      </c>
      <c r="T6" s="20"/>
      <c r="U6" s="21"/>
    </row>
    <row r="7" spans="1:21" x14ac:dyDescent="0.35">
      <c r="A7" s="2" t="s">
        <v>20</v>
      </c>
      <c r="B7" s="31">
        <f>'Absolute values'!B6*0.0000000000036/B$3</f>
        <v>0.16016484372485931</v>
      </c>
      <c r="C7" s="31">
        <f>'Absolute values'!C6*0.0000000000036/C$3</f>
        <v>0.14242679157591706</v>
      </c>
      <c r="D7" s="31">
        <f>'Absolute values'!D6*0.0000000000036/D$3</f>
        <v>0.1654057186028334</v>
      </c>
      <c r="E7" s="31">
        <f>'Absolute values'!E6*0.0000000000036/E$3</f>
        <v>0.19697202995228316</v>
      </c>
      <c r="F7" s="31">
        <f>'Absolute values'!F6*0.000000000001/F$3</f>
        <v>9.7350552724303221E-2</v>
      </c>
      <c r="G7" s="31">
        <f>'Absolute values'!G6*0.000000000001/G$3</f>
        <v>8.0052912643619203E-2</v>
      </c>
      <c r="H7" s="31">
        <f>'Absolute values'!H6*0.000000000001/H$3</f>
        <v>0.1942837202503053</v>
      </c>
      <c r="I7" s="31">
        <f>'Absolute values'!I6*0.000000000001/I$3</f>
        <v>6.2142358284517842E-2</v>
      </c>
      <c r="J7" s="31">
        <f>'Absolute values'!J6/J$3</f>
        <v>1.544863518123748</v>
      </c>
      <c r="K7" s="31">
        <f>'Absolute values'!K6/K$3</f>
        <v>1.178084434709163</v>
      </c>
      <c r="L7" s="31">
        <f>'Absolute values'!L6/L$3</f>
        <v>57.565581841593648</v>
      </c>
      <c r="M7" s="31">
        <f>'Absolute values'!M6/M$3</f>
        <v>1.6705845354407201</v>
      </c>
      <c r="N7" s="31">
        <f>'Absolute values'!N6/N$3</f>
        <v>9.5017667844522966E-2</v>
      </c>
      <c r="O7" s="31">
        <f>'Absolute values'!O6/O$3</f>
        <v>0.1599337748344371</v>
      </c>
      <c r="P7" s="31">
        <f>'Absolute values'!P6/P$3</f>
        <v>0.12227915194346288</v>
      </c>
      <c r="Q7" s="31">
        <f>'Absolute values'!Q6/Q$3</f>
        <v>0.50651943462897531</v>
      </c>
      <c r="R7" s="31">
        <f>'Absolute values'!R6/R$3</f>
        <v>3.1217053007891642</v>
      </c>
      <c r="S7" s="31">
        <f>'Absolute values'!S6/S$3</f>
        <v>176.90279203655615</v>
      </c>
      <c r="T7" s="20"/>
      <c r="U7" s="21"/>
    </row>
    <row r="8" spans="1:21" x14ac:dyDescent="0.35">
      <c r="A8" s="2" t="s">
        <v>21</v>
      </c>
      <c r="B8" s="31">
        <f>'Absolute values'!B7*0.0000000000036/B$3</f>
        <v>9.8562980753759577E-2</v>
      </c>
      <c r="C8" s="31">
        <f>'Absolute values'!C7*0.0000000000036/C$3</f>
        <v>8.7659720412481379E-2</v>
      </c>
      <c r="D8" s="31">
        <f>'Absolute values'!D7*0.0000000000036/D$3</f>
        <v>0.10122433797131482</v>
      </c>
      <c r="E8" s="31">
        <f>'Absolute values'!E7*0.0000000000036/E$3</f>
        <v>0.12093407899573642</v>
      </c>
      <c r="F8" s="31">
        <f>'Absolute values'!F7*0.000000000001/F$3</f>
        <v>8.3078772664720898E-2</v>
      </c>
      <c r="G8" s="31">
        <f>'Absolute values'!G7*0.000000000001/G$3</f>
        <v>6.8317000207515799E-2</v>
      </c>
      <c r="H8" s="31">
        <f>'Absolute values'!H7*0.000000000001/H$3</f>
        <v>0.16580134961166831</v>
      </c>
      <c r="I8" s="31">
        <f>'Absolute values'!I7*0.000000000001/I$3</f>
        <v>5.3032167895234156E-2</v>
      </c>
      <c r="J8" s="31">
        <f>'Absolute values'!J7/J$3</f>
        <v>1.1510747782098516</v>
      </c>
      <c r="K8" s="31">
        <f>'Absolute values'!K7/K$3</f>
        <v>0.85860391004227132</v>
      </c>
      <c r="L8" s="31">
        <f>'Absolute values'!L7/L$3</f>
        <v>42.164263892746227</v>
      </c>
      <c r="M8" s="31">
        <f>'Absolute values'!M7/M$3</f>
        <v>1.1663532274875759</v>
      </c>
      <c r="N8" s="31">
        <f>'Absolute values'!N7/N$3</f>
        <v>6.4770318021201409E-2</v>
      </c>
      <c r="O8" s="31">
        <f>'Absolute values'!O7/O$3</f>
        <v>0.10905077262693157</v>
      </c>
      <c r="P8" s="31">
        <f>'Absolute values'!P7/P$3</f>
        <v>8.1978798586572435E-2</v>
      </c>
      <c r="Q8" s="31">
        <f>'Absolute values'!Q7/Q$3</f>
        <v>0.31950530035335689</v>
      </c>
      <c r="R8" s="31">
        <f>'Absolute values'!R7/R$3</f>
        <v>1.980620419391232</v>
      </c>
      <c r="S8" s="31">
        <f>'Absolute values'!S7/S$3</f>
        <v>112.23906435573808</v>
      </c>
      <c r="T8" s="20"/>
      <c r="U8" s="21"/>
    </row>
    <row r="9" spans="1:21" x14ac:dyDescent="0.35">
      <c r="A9" s="2" t="s">
        <v>22</v>
      </c>
      <c r="B9" s="31">
        <f>'Absolute values'!B8*0.0000000000036/B$3</f>
        <v>1.8020843496023207E-2</v>
      </c>
      <c r="C9" s="31">
        <f>'Absolute values'!C8*0.0000000000036/C$3</f>
        <v>1.6203275492140738E-2</v>
      </c>
      <c r="D9" s="31">
        <f>'Absolute values'!D8*0.0000000000036/D$3</f>
        <v>1.6243435838841126E-2</v>
      </c>
      <c r="E9" s="31">
        <f>'Absolute values'!E8*0.0000000000036/E$3</f>
        <v>1.8685093750414213E-2</v>
      </c>
      <c r="F9" s="31">
        <f>'Absolute values'!F8*0.000000000001/F$3</f>
        <v>0.23515356813404509</v>
      </c>
      <c r="G9" s="31">
        <f>'Absolute values'!G8*0.000000000001/G$3</f>
        <v>0.19337053073526658</v>
      </c>
      <c r="H9" s="31">
        <f>'Absolute values'!H8*0.000000000001/H$3</f>
        <v>0.46929892813860158</v>
      </c>
      <c r="I9" s="31">
        <f>'Absolute values'!I8*0.000000000001/I$3</f>
        <v>0.15010697806978679</v>
      </c>
      <c r="J9" s="31">
        <f>'Absolute values'!J8/J$3</f>
        <v>2.1052551864627547</v>
      </c>
      <c r="K9" s="31">
        <f>'Absolute values'!K8/K$3</f>
        <v>1.4077110618134914</v>
      </c>
      <c r="L9" s="31">
        <f>'Absolute values'!L8/L$3</f>
        <v>70.694574191430803</v>
      </c>
      <c r="M9" s="31">
        <f>'Absolute values'!M8/M$3</f>
        <v>1.4617614685106302</v>
      </c>
      <c r="N9" s="31">
        <f>'Absolute values'!N8/N$3</f>
        <v>3.067137809187279E-2</v>
      </c>
      <c r="O9" s="31">
        <f>'Absolute values'!O8/O$3</f>
        <v>6.1302428256070636E-2</v>
      </c>
      <c r="P9" s="31">
        <f>'Absolute values'!P8/P$3</f>
        <v>3.5123674911660775E-2</v>
      </c>
      <c r="Q9" s="31">
        <f>'Absolute values'!Q8/Q$3</f>
        <v>6.210247349823321E-2</v>
      </c>
      <c r="R9" s="31">
        <f>'Absolute values'!R8/R$3</f>
        <v>0</v>
      </c>
      <c r="S9" s="31">
        <f>'Absolute values'!S8/S$3</f>
        <v>0</v>
      </c>
      <c r="T9" s="20"/>
      <c r="U9" s="21"/>
    </row>
    <row r="10" spans="1:21" x14ac:dyDescent="0.35">
      <c r="A10" s="2" t="s">
        <v>23</v>
      </c>
      <c r="B10" s="31">
        <f>'Absolute values'!B9*0.0000000000036/B$3</f>
        <v>1.1768714119851888E-2</v>
      </c>
      <c r="C10" s="31">
        <f>'Absolute values'!C9*0.0000000000036/C$3</f>
        <v>1.0532129069891477E-2</v>
      </c>
      <c r="D10" s="31">
        <f>'Absolute values'!D9*0.0000000000036/D$3</f>
        <v>1.0894987452881243E-2</v>
      </c>
      <c r="E10" s="31">
        <f>'Absolute values'!E9*0.0000000000036/E$3</f>
        <v>1.2456729166942808E-2</v>
      </c>
      <c r="F10" s="31">
        <f>'Absolute values'!F9*0.000000000001/F$3</f>
        <v>0.18213059718420613</v>
      </c>
      <c r="G10" s="31">
        <f>'Absolute values'!G9*0.000000000001/G$3</f>
        <v>0.14976889579053806</v>
      </c>
      <c r="H10" s="31">
        <f>'Absolute values'!H9*0.000000000001/H$3</f>
        <v>0.36348031934207609</v>
      </c>
      <c r="I10" s="31">
        <f>'Absolute values'!I9*0.000000000001/I$3</f>
        <v>0.11626050914006397</v>
      </c>
      <c r="J10" s="31">
        <f>'Absolute values'!J9/J$3</f>
        <v>5.0586707358169791</v>
      </c>
      <c r="K10" s="31">
        <f>'Absolute values'!K9/K$3</f>
        <v>3.3495536258044423</v>
      </c>
      <c r="L10" s="31">
        <f>'Absolute values'!L9/L$3</f>
        <v>168.65705557098491</v>
      </c>
      <c r="M10" s="31">
        <f>'Absolute values'!M9/M$3</f>
        <v>3.4226609994395241</v>
      </c>
      <c r="N10" s="31">
        <f>'Absolute values'!N9/N$3</f>
        <v>5.4823321554770321E-2</v>
      </c>
      <c r="O10" s="31">
        <f>'Absolute values'!O9/O$3</f>
        <v>8.9845474613686541E-2</v>
      </c>
      <c r="P10" s="31">
        <f>'Absolute values'!P9/P$3</f>
        <v>5.7738515901060071E-2</v>
      </c>
      <c r="Q10" s="31">
        <f>'Absolute values'!Q9/Q$3</f>
        <v>7.5159010600706719E-2</v>
      </c>
      <c r="R10" s="31">
        <f>'Absolute values'!R9/R$3</f>
        <v>0</v>
      </c>
      <c r="S10" s="31">
        <f>'Absolute values'!S9/S$3</f>
        <v>0</v>
      </c>
      <c r="T10" s="20"/>
      <c r="U10" s="21"/>
    </row>
    <row r="11" spans="1:21" x14ac:dyDescent="0.35">
      <c r="A11" s="2" t="s">
        <v>24</v>
      </c>
      <c r="B11" s="31">
        <f>'Absolute values'!B10*0.0000000000036/B$3</f>
        <v>0.25964725526923232</v>
      </c>
      <c r="C11" s="31">
        <f>'Absolute values'!C10*0.0000000000036/C$3</f>
        <v>0.23089667576300549</v>
      </c>
      <c r="D11" s="31">
        <f>'Absolute values'!D10*0.0000000000036/D$3</f>
        <v>0.26900714474568593</v>
      </c>
      <c r="E11" s="31">
        <f>'Absolute values'!E10*0.0000000000036/E$3</f>
        <v>0.32231786719464517</v>
      </c>
      <c r="F11" s="31">
        <f>'Absolute values'!F10*0.000000000001/F$3</f>
        <v>0</v>
      </c>
      <c r="G11" s="31">
        <f>'Absolute values'!G10*0.000000000001/G$3</f>
        <v>0</v>
      </c>
      <c r="H11" s="31">
        <f>'Absolute values'!H10*0.000000000001/H$3</f>
        <v>0</v>
      </c>
      <c r="I11" s="31">
        <f>'Absolute values'!I10*0.000000000001/I$3</f>
        <v>0</v>
      </c>
      <c r="J11" s="31">
        <f>'Absolute values'!J10/J$3</f>
        <v>1.1435019178268919</v>
      </c>
      <c r="K11" s="31">
        <f>'Absolute values'!K10/K$3</f>
        <v>1.0183441723757172</v>
      </c>
      <c r="L11" s="31">
        <f>'Absolute values'!L10/L$3</f>
        <v>48.223798823440298</v>
      </c>
      <c r="M11" s="31">
        <f>'Absolute values'!M10/M$3</f>
        <v>1.833568392556888</v>
      </c>
      <c r="N11" s="31">
        <f>'Absolute values'!N10/N$3</f>
        <v>0.14303886925795051</v>
      </c>
      <c r="O11" s="31">
        <f>'Absolute values'!O10/O$3</f>
        <v>0.23381898454746136</v>
      </c>
      <c r="P11" s="31">
        <f>'Absolute values'!P10/P$3</f>
        <v>0.18712014134275617</v>
      </c>
      <c r="Q11" s="31">
        <f>'Absolute values'!Q10/Q$3</f>
        <v>0.83095406360424029</v>
      </c>
      <c r="R11" s="31">
        <f>'Absolute values'!R10/R$3</f>
        <v>5.6048961184002994</v>
      </c>
      <c r="S11" s="31">
        <f>'Absolute values'!S10/S$3</f>
        <v>317.62183706745577</v>
      </c>
      <c r="T11" s="20"/>
      <c r="U11" s="21"/>
    </row>
    <row r="12" spans="1:21" ht="15" thickBot="1" x14ac:dyDescent="0.4">
      <c r="A12" s="3" t="s">
        <v>25</v>
      </c>
      <c r="B12" s="31">
        <f>'Absolute values'!B11*0.0000000000036/B$3</f>
        <v>0.25155626431183414</v>
      </c>
      <c r="C12" s="31">
        <f>'Absolute values'!C11*0.0000000000036/C$3</f>
        <v>0.22166080873248525</v>
      </c>
      <c r="D12" s="31">
        <f>'Absolute values'!D11*0.0000000000036/D$3</f>
        <v>0.27059187019337777</v>
      </c>
      <c r="E12" s="31">
        <f>'Absolute values'!E11*0.0000000000036/E$3</f>
        <v>0.35423823568493612</v>
      </c>
      <c r="F12" s="31">
        <f>'Absolute values'!F11*0.000000000001/F$3</f>
        <v>0</v>
      </c>
      <c r="G12" s="31">
        <f>'Absolute values'!G11*0.000000000001/G$3</f>
        <v>0</v>
      </c>
      <c r="H12" s="31">
        <f>'Absolute values'!H11*0.000000000001/H$3</f>
        <v>0</v>
      </c>
      <c r="I12" s="31">
        <f>'Absolute values'!I11*0.000000000001/I$3</f>
        <v>0</v>
      </c>
      <c r="J12" s="31">
        <f>'Absolute values'!J11/J$3</f>
        <v>0.48466306450941116</v>
      </c>
      <c r="K12" s="31">
        <f>'Absolute values'!K11/K$3</f>
        <v>0.32946429106273206</v>
      </c>
      <c r="L12" s="31">
        <f>'Absolute values'!L11/L$3</f>
        <v>16.411240437296438</v>
      </c>
      <c r="M12" s="31">
        <f>'Absolute values'!M11/M$3</f>
        <v>0.3463406963718566</v>
      </c>
      <c r="N12" s="31">
        <f>'Absolute values'!N11/N$3</f>
        <v>6.0247349823321555E-2</v>
      </c>
      <c r="O12" s="31">
        <f>'Absolute values'!O11/O$3</f>
        <v>5.9470198675496688E-2</v>
      </c>
      <c r="P12" s="31">
        <f>'Absolute values'!P11/P$3</f>
        <v>6.340989399293287E-2</v>
      </c>
      <c r="Q12" s="31">
        <f>'Absolute values'!Q11/Q$3</f>
        <v>8.2049469964664307E-2</v>
      </c>
      <c r="R12" s="31">
        <f>'Absolute values'!R11/R$3</f>
        <v>5.6048961184002994</v>
      </c>
      <c r="S12" s="31">
        <f>'Absolute values'!S11/S$3</f>
        <v>317.62183706745577</v>
      </c>
      <c r="T12" s="29"/>
      <c r="U12" s="30"/>
    </row>
    <row r="13" spans="1:21" x14ac:dyDescent="0.35">
      <c r="A13" s="33" t="s">
        <v>28</v>
      </c>
      <c r="B13" s="34">
        <f>AVERAGE(B5:B8)</f>
        <v>8.624260815953963E-2</v>
      </c>
      <c r="C13" s="34">
        <f t="shared" ref="C13:S13" si="0">AVERAGE(C5:C8)</f>
        <v>7.6682001266556027E-2</v>
      </c>
      <c r="D13" s="34">
        <f t="shared" si="0"/>
        <v>8.8546534389780274E-2</v>
      </c>
      <c r="E13" s="34">
        <f t="shared" si="0"/>
        <v>0.10549292513254692</v>
      </c>
      <c r="F13" s="34">
        <f t="shared" si="0"/>
        <v>8.7520982352140564E-2</v>
      </c>
      <c r="G13" s="34">
        <f t="shared" si="0"/>
        <v>7.1969900104845996E-2</v>
      </c>
      <c r="H13" s="34">
        <f t="shared" si="0"/>
        <v>0.174666723254158</v>
      </c>
      <c r="I13" s="34">
        <f t="shared" si="0"/>
        <v>5.5867790069382063E-2</v>
      </c>
      <c r="J13" s="34">
        <f t="shared" si="0"/>
        <v>1.1359290574439325</v>
      </c>
      <c r="K13" s="34">
        <f t="shared" si="0"/>
        <v>0.83489246485215052</v>
      </c>
      <c r="L13" s="34">
        <f t="shared" si="0"/>
        <v>41.091221248769152</v>
      </c>
      <c r="M13" s="34">
        <f t="shared" si="0"/>
        <v>1.1001410355341328</v>
      </c>
      <c r="N13" s="34">
        <f t="shared" si="0"/>
        <v>5.827296819787986E-2</v>
      </c>
      <c r="O13" s="34">
        <f t="shared" si="0"/>
        <v>9.8543046357615904E-2</v>
      </c>
      <c r="P13" s="34">
        <f t="shared" si="0"/>
        <v>7.3295053003533561E-2</v>
      </c>
      <c r="Q13" s="34">
        <f t="shared" si="0"/>
        <v>0.27856448763250885</v>
      </c>
      <c r="R13" s="34">
        <f t="shared" si="0"/>
        <v>1.6634501166554414</v>
      </c>
      <c r="S13" s="34">
        <f t="shared" si="0"/>
        <v>94.265454838255138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358A-A2DD-9C42-AFC6-201D79B56335}">
  <dimension ref="A1:M11"/>
  <sheetViews>
    <sheetView workbookViewId="0">
      <selection activeCell="M2" sqref="M2"/>
    </sheetView>
  </sheetViews>
  <sheetFormatPr baseColWidth="10" defaultRowHeight="14.5" x14ac:dyDescent="0.35"/>
  <cols>
    <col min="1" max="1" width="15.1796875" bestFit="1" customWidth="1"/>
    <col min="2" max="3" width="17.7265625" bestFit="1" customWidth="1"/>
    <col min="4" max="4" width="14.7265625" bestFit="1" customWidth="1"/>
    <col min="5" max="5" width="16.7265625" bestFit="1" customWidth="1"/>
    <col min="6" max="7" width="17.7265625" bestFit="1" customWidth="1"/>
    <col min="8" max="8" width="14.7265625" bestFit="1" customWidth="1"/>
    <col min="9" max="9" width="16.7265625" bestFit="1" customWidth="1"/>
    <col min="10" max="11" width="17.7265625" bestFit="1" customWidth="1"/>
    <col min="12" max="12" width="14.7265625" bestFit="1" customWidth="1"/>
    <col min="13" max="13" width="16.7265625" bestFit="1" customWidth="1"/>
  </cols>
  <sheetData>
    <row r="1" spans="1:13" x14ac:dyDescent="0.35">
      <c r="A1" s="1"/>
      <c r="B1" s="37" t="s">
        <v>16</v>
      </c>
      <c r="C1" s="38"/>
      <c r="D1" s="38"/>
      <c r="E1" s="39"/>
      <c r="F1" s="37" t="s">
        <v>3</v>
      </c>
      <c r="G1" s="38"/>
      <c r="H1" s="38"/>
      <c r="I1" s="39"/>
      <c r="J1" s="37" t="s">
        <v>4</v>
      </c>
      <c r="K1" s="38"/>
      <c r="L1" s="38"/>
      <c r="M1" s="39"/>
    </row>
    <row r="2" spans="1:13" x14ac:dyDescent="0.35">
      <c r="A2" s="2" t="s">
        <v>0</v>
      </c>
      <c r="B2" s="5" t="s">
        <v>12</v>
      </c>
      <c r="C2" s="6" t="s">
        <v>13</v>
      </c>
      <c r="D2" s="6" t="s">
        <v>14</v>
      </c>
      <c r="E2" s="7" t="s">
        <v>15</v>
      </c>
      <c r="F2" s="5" t="s">
        <v>12</v>
      </c>
      <c r="G2" s="6" t="s">
        <v>13</v>
      </c>
      <c r="H2" s="6" t="s">
        <v>14</v>
      </c>
      <c r="I2" s="7" t="s">
        <v>15</v>
      </c>
      <c r="J2" s="5" t="s">
        <v>12</v>
      </c>
      <c r="K2" s="6" t="s">
        <v>13</v>
      </c>
      <c r="L2" s="6" t="s">
        <v>14</v>
      </c>
      <c r="M2" s="7" t="s">
        <v>15</v>
      </c>
    </row>
    <row r="3" spans="1:13" x14ac:dyDescent="0.35">
      <c r="A3" s="2" t="s">
        <v>10</v>
      </c>
      <c r="B3" s="32">
        <f>'Absolute values'!B3/'Absolute values'!B$3</f>
        <v>1</v>
      </c>
      <c r="C3" s="32">
        <f>'Absolute values'!C3/'Absolute values'!C$3</f>
        <v>1</v>
      </c>
      <c r="D3" s="32">
        <f>'Absolute values'!D3/'Absolute values'!D$3</f>
        <v>1</v>
      </c>
      <c r="E3" s="32">
        <f>'Absolute values'!E3/'Absolute values'!E$3</f>
        <v>1</v>
      </c>
      <c r="F3" s="32">
        <f>'Absolute values'!J3/'Absolute values'!J$3</f>
        <v>1</v>
      </c>
      <c r="G3" s="32">
        <f>'Absolute values'!K3/'Absolute values'!K$3</f>
        <v>1</v>
      </c>
      <c r="H3" s="32">
        <f>'Absolute values'!L3/'Absolute values'!L$3</f>
        <v>1</v>
      </c>
      <c r="I3" s="32">
        <f>'Absolute values'!M3/'Absolute values'!M$3</f>
        <v>1</v>
      </c>
      <c r="J3" s="32">
        <f>'Absolute values'!N3/'Absolute values'!N$3</f>
        <v>1</v>
      </c>
      <c r="K3" s="32">
        <f>'Absolute values'!O3/'Absolute values'!O$3</f>
        <v>1</v>
      </c>
      <c r="L3" s="32">
        <f>'Absolute values'!P3/'Absolute values'!P$3</f>
        <v>1</v>
      </c>
      <c r="M3" s="32">
        <f>'Absolute values'!Q3/'Absolute values'!Q$3</f>
        <v>1</v>
      </c>
    </row>
    <row r="4" spans="1:13" x14ac:dyDescent="0.35">
      <c r="A4" s="2" t="s">
        <v>18</v>
      </c>
      <c r="B4" s="32">
        <f>'Absolute values'!B4/'Absolute values'!B$3</f>
        <v>20.571428571428573</v>
      </c>
      <c r="C4" s="32">
        <f>'Absolute values'!C4/'Absolute values'!C$3</f>
        <v>20.714285714285715</v>
      </c>
      <c r="D4" s="32">
        <f>'Absolute values'!D4/'Absolute values'!D$3</f>
        <v>22.666666666666668</v>
      </c>
      <c r="E4" s="32">
        <f>'Absolute values'!E4/'Absolute values'!E$3</f>
        <v>24.6</v>
      </c>
      <c r="F4" s="32">
        <f>'Absolute values'!J4/'Absolute values'!J$3</f>
        <v>66</v>
      </c>
      <c r="G4" s="32">
        <f>'Absolute values'!K4/'Absolute values'!K$3</f>
        <v>71</v>
      </c>
      <c r="H4" s="32">
        <f>'Absolute values'!L4/'Absolute values'!L$3</f>
        <v>69</v>
      </c>
      <c r="I4" s="32">
        <f>'Absolute values'!M4/'Absolute values'!M$3</f>
        <v>85</v>
      </c>
      <c r="J4" s="32">
        <f>'Absolute values'!N4/'Absolute values'!N$3</f>
        <v>2.2763358778625955</v>
      </c>
      <c r="K4" s="32">
        <f>'Absolute values'!O4/'Absolute values'!O$3</f>
        <v>2.6625850340136057</v>
      </c>
      <c r="L4" s="32">
        <f>'Absolute values'!P4/'Absolute values'!P$3</f>
        <v>2.6411411411411412</v>
      </c>
      <c r="M4" s="32">
        <f>'Absolute values'!Q4/'Absolute values'!Q$3</f>
        <v>6.8735177865612656</v>
      </c>
    </row>
    <row r="5" spans="1:13" x14ac:dyDescent="0.35">
      <c r="A5" s="2" t="s">
        <v>19</v>
      </c>
      <c r="B5" s="32">
        <f>'Absolute values'!B5/'Absolute values'!B$3</f>
        <v>46.428571428571431</v>
      </c>
      <c r="C5" s="32">
        <f>'Absolute values'!C5/'Absolute values'!C$3</f>
        <v>46.857142857142854</v>
      </c>
      <c r="D5" s="32">
        <f>'Absolute values'!D5/'Absolute values'!D$3</f>
        <v>51</v>
      </c>
      <c r="E5" s="32">
        <f>'Absolute values'!E5/'Absolute values'!E$3</f>
        <v>55.6</v>
      </c>
      <c r="F5" s="32">
        <f>'Absolute values'!J5/'Absolute values'!J$3</f>
        <v>178</v>
      </c>
      <c r="G5" s="32">
        <f>'Absolute values'!K5/'Absolute values'!K$3</f>
        <v>190</v>
      </c>
      <c r="H5" s="32">
        <f>'Absolute values'!L5/'Absolute values'!L$3</f>
        <v>187</v>
      </c>
      <c r="I5" s="32">
        <f>'Absolute values'!M5/'Absolute values'!M$3</f>
        <v>222.00000000000003</v>
      </c>
      <c r="J5" s="32">
        <f>'Absolute values'!N5/'Absolute values'!N$3</f>
        <v>4.0580152671755725</v>
      </c>
      <c r="K5" s="32">
        <f>'Absolute values'!O5/'Absolute values'!O$3</f>
        <v>5.0530612244897961</v>
      </c>
      <c r="L5" s="32">
        <f>'Absolute values'!P5/'Absolute values'!P$3</f>
        <v>4.9159159159159165</v>
      </c>
      <c r="M5" s="32">
        <f>'Absolute values'!Q5/'Absolute values'!Q$3</f>
        <v>14.620553359683795</v>
      </c>
    </row>
    <row r="6" spans="1:13" x14ac:dyDescent="0.35">
      <c r="A6" s="2" t="s">
        <v>20</v>
      </c>
      <c r="B6" s="32">
        <f>'Absolute values'!B6/'Absolute values'!B$3</f>
        <v>124.42857142857143</v>
      </c>
      <c r="C6" s="32">
        <f>'Absolute values'!C6/'Absolute values'!C$3</f>
        <v>125.57142857142857</v>
      </c>
      <c r="D6" s="32">
        <f>'Absolute values'!D6/'Absolute values'!D$3</f>
        <v>139.16666666666666</v>
      </c>
      <c r="E6" s="32">
        <f>'Absolute values'!E6/'Absolute values'!E$3</f>
        <v>151.80000000000001</v>
      </c>
      <c r="F6" s="32">
        <f>'Absolute values'!J6/'Absolute values'!J$3</f>
        <v>204</v>
      </c>
      <c r="G6" s="32">
        <f>'Absolute values'!K6/'Absolute values'!K$3</f>
        <v>235.99999999999997</v>
      </c>
      <c r="H6" s="32">
        <f>'Absolute values'!L6/'Absolute values'!L$3</f>
        <v>227.99999999999997</v>
      </c>
      <c r="I6" s="32">
        <f>'Absolute values'!M6/'Absolute values'!M$3</f>
        <v>328</v>
      </c>
      <c r="J6" s="32">
        <f>'Absolute values'!N6/'Absolute values'!N$3</f>
        <v>8.210687022900764</v>
      </c>
      <c r="K6" s="32">
        <f>'Absolute values'!O6/'Absolute values'!O$3</f>
        <v>9.8571428571428577</v>
      </c>
      <c r="L6" s="32">
        <f>'Absolute values'!P6/'Absolute values'!P$3</f>
        <v>10.391891891891891</v>
      </c>
      <c r="M6" s="32">
        <f>'Absolute values'!Q6/'Absolute values'!Q$3</f>
        <v>37.772068511198945</v>
      </c>
    </row>
    <row r="7" spans="1:13" x14ac:dyDescent="0.35">
      <c r="A7" s="2" t="s">
        <v>21</v>
      </c>
      <c r="B7" s="32">
        <f>'Absolute values'!B7/'Absolute values'!B$3</f>
        <v>76.571428571428569</v>
      </c>
      <c r="C7" s="32">
        <f>'Absolute values'!C7/'Absolute values'!C$3</f>
        <v>77.285714285714292</v>
      </c>
      <c r="D7" s="32">
        <f>'Absolute values'!D7/'Absolute values'!D$3</f>
        <v>85.166666666666671</v>
      </c>
      <c r="E7" s="32">
        <f>'Absolute values'!E7/'Absolute values'!E$3</f>
        <v>93.2</v>
      </c>
      <c r="F7" s="32">
        <f>'Absolute values'!J7/'Absolute values'!J$3</f>
        <v>152</v>
      </c>
      <c r="G7" s="32">
        <f>'Absolute values'!K7/'Absolute values'!K$3</f>
        <v>172</v>
      </c>
      <c r="H7" s="32">
        <f>'Absolute values'!L7/'Absolute values'!L$3</f>
        <v>167</v>
      </c>
      <c r="I7" s="32">
        <f>'Absolute values'!M7/'Absolute values'!M$3</f>
        <v>229</v>
      </c>
      <c r="J7" s="32">
        <f>'Absolute values'!N7/'Absolute values'!N$3</f>
        <v>5.5969465648854957</v>
      </c>
      <c r="K7" s="32">
        <f>'Absolute values'!O7/'Absolute values'!O$3</f>
        <v>6.72108843537415</v>
      </c>
      <c r="L7" s="32">
        <f>'Absolute values'!P7/'Absolute values'!P$3</f>
        <v>6.9669669669669663</v>
      </c>
      <c r="M7" s="32">
        <f>'Absolute values'!Q7/'Absolute values'!Q$3</f>
        <v>23.826086956521738</v>
      </c>
    </row>
    <row r="8" spans="1:13" x14ac:dyDescent="0.35">
      <c r="A8" s="2" t="s">
        <v>22</v>
      </c>
      <c r="B8" s="32">
        <f>'Absolute values'!B8/'Absolute values'!B$3</f>
        <v>14</v>
      </c>
      <c r="C8" s="32">
        <f>'Absolute values'!C8/'Absolute values'!C$3</f>
        <v>14.285714285714286</v>
      </c>
      <c r="D8" s="32">
        <f>'Absolute values'!D8/'Absolute values'!D$3</f>
        <v>13.666666666666666</v>
      </c>
      <c r="E8" s="32">
        <f>'Absolute values'!E8/'Absolute values'!E$3</f>
        <v>14.4</v>
      </c>
      <c r="F8" s="32">
        <f>'Absolute values'!J8/'Absolute values'!J$3</f>
        <v>278</v>
      </c>
      <c r="G8" s="32">
        <f>'Absolute values'!K8/'Absolute values'!K$3</f>
        <v>282</v>
      </c>
      <c r="H8" s="32">
        <f>'Absolute values'!L8/'Absolute values'!L$3</f>
        <v>280</v>
      </c>
      <c r="I8" s="32">
        <f>'Absolute values'!M8/'Absolute values'!M$3</f>
        <v>287</v>
      </c>
      <c r="J8" s="32">
        <f>'Absolute values'!N8/'Absolute values'!N$3</f>
        <v>2.6503816793893131</v>
      </c>
      <c r="K8" s="32">
        <f>'Absolute values'!O8/'Absolute values'!O$3</f>
        <v>3.778231292517007</v>
      </c>
      <c r="L8" s="32">
        <f>'Absolute values'!P8/'Absolute values'!P$3</f>
        <v>2.984984984984985</v>
      </c>
      <c r="M8" s="32">
        <f>'Absolute values'!Q8/'Absolute values'!Q$3</f>
        <v>4.6310935441370225</v>
      </c>
    </row>
    <row r="9" spans="1:13" x14ac:dyDescent="0.35">
      <c r="A9" s="2" t="s">
        <v>23</v>
      </c>
      <c r="B9" s="32">
        <f>'Absolute values'!B9/'Absolute values'!B$3</f>
        <v>9.1428571428571423</v>
      </c>
      <c r="C9" s="32">
        <f>'Absolute values'!C9/'Absolute values'!C$3</f>
        <v>9.2857142857142865</v>
      </c>
      <c r="D9" s="32">
        <f>'Absolute values'!D9/'Absolute values'!D$3</f>
        <v>9.1666666666666661</v>
      </c>
      <c r="E9" s="32">
        <f>'Absolute values'!E9/'Absolute values'!E$3</f>
        <v>9.6</v>
      </c>
      <c r="F9" s="32">
        <f>'Absolute values'!J9/'Absolute values'!J$3</f>
        <v>668</v>
      </c>
      <c r="G9" s="32">
        <f>'Absolute values'!K9/'Absolute values'!K$3</f>
        <v>671</v>
      </c>
      <c r="H9" s="32">
        <f>'Absolute values'!L9/'Absolute values'!L$3</f>
        <v>668</v>
      </c>
      <c r="I9" s="32">
        <f>'Absolute values'!M9/'Absolute values'!M$3</f>
        <v>672</v>
      </c>
      <c r="J9" s="32">
        <f>'Absolute values'!N9/'Absolute values'!N$3</f>
        <v>4.7374045801526723</v>
      </c>
      <c r="K9" s="32">
        <f>'Absolute values'!O9/'Absolute values'!O$3</f>
        <v>5.5374149659863949</v>
      </c>
      <c r="L9" s="32">
        <f>'Absolute values'!P9/'Absolute values'!P$3</f>
        <v>4.9069069069069071</v>
      </c>
      <c r="M9" s="32">
        <f>'Absolute values'!Q9/'Absolute values'!Q$3</f>
        <v>5.6047430830039522</v>
      </c>
    </row>
    <row r="10" spans="1:13" x14ac:dyDescent="0.35">
      <c r="A10" s="2" t="s">
        <v>24</v>
      </c>
      <c r="B10" s="32">
        <f>'Absolute values'!B10/'Absolute values'!B$3</f>
        <v>201.71428571428572</v>
      </c>
      <c r="C10" s="32">
        <f>'Absolute values'!C10/'Absolute values'!C$3</f>
        <v>203.57142857142858</v>
      </c>
      <c r="D10" s="32">
        <f>'Absolute values'!D10/'Absolute values'!D$3</f>
        <v>226.33333333333334</v>
      </c>
      <c r="E10" s="32">
        <f>'Absolute values'!E10/'Absolute values'!E$3</f>
        <v>248.4</v>
      </c>
      <c r="F10" s="32">
        <f>'Absolute values'!J10/'Absolute values'!J$3</f>
        <v>151</v>
      </c>
      <c r="G10" s="32">
        <f>'Absolute values'!K10/'Absolute values'!K$3</f>
        <v>204</v>
      </c>
      <c r="H10" s="32">
        <f>'Absolute values'!L10/'Absolute values'!L$3</f>
        <v>191</v>
      </c>
      <c r="I10" s="32">
        <f>'Absolute values'!M10/'Absolute values'!M$3</f>
        <v>360</v>
      </c>
      <c r="J10" s="32">
        <f>'Absolute values'!N10/'Absolute values'!N$3</f>
        <v>12.360305343511449</v>
      </c>
      <c r="K10" s="32">
        <f>'Absolute values'!O10/'Absolute values'!O$3</f>
        <v>14.410884353741498</v>
      </c>
      <c r="L10" s="32">
        <f>'Absolute values'!P10/'Absolute values'!P$3</f>
        <v>15.902402402402402</v>
      </c>
      <c r="M10" s="32">
        <f>'Absolute values'!Q10/'Absolute values'!Q$3</f>
        <v>61.965744400527008</v>
      </c>
    </row>
    <row r="11" spans="1:13" ht="15" thickBot="1" x14ac:dyDescent="0.4">
      <c r="A11" s="3" t="s">
        <v>25</v>
      </c>
      <c r="B11" s="32">
        <f>'Absolute values'!B11/'Absolute values'!B$3</f>
        <v>195.42857142857142</v>
      </c>
      <c r="C11" s="32">
        <f>'Absolute values'!C11/'Absolute values'!C$3</f>
        <v>195.42857142857142</v>
      </c>
      <c r="D11" s="32">
        <f>'Absolute values'!D11/'Absolute values'!D$3</f>
        <v>227.66666666666666</v>
      </c>
      <c r="E11" s="32">
        <f>'Absolute values'!E11/'Absolute values'!E$3</f>
        <v>273</v>
      </c>
      <c r="F11" s="32">
        <f>'Absolute values'!J11/'Absolute values'!J$3</f>
        <v>64</v>
      </c>
      <c r="G11" s="32">
        <f>'Absolute values'!K11/'Absolute values'!K$3</f>
        <v>66</v>
      </c>
      <c r="H11" s="32">
        <f>'Absolute values'!L11/'Absolute values'!L$3</f>
        <v>65</v>
      </c>
      <c r="I11" s="32">
        <f>'Absolute values'!M11/'Absolute values'!M$3</f>
        <v>68</v>
      </c>
      <c r="J11" s="32">
        <f>'Absolute values'!N11/'Absolute values'!N$3</f>
        <v>5.2061068702290081</v>
      </c>
      <c r="K11" s="32">
        <f>'Absolute values'!O11/'Absolute values'!O$3</f>
        <v>3.66530612244898</v>
      </c>
      <c r="L11" s="32">
        <f>'Absolute values'!P11/'Absolute values'!P$3</f>
        <v>5.3888888888888893</v>
      </c>
      <c r="M11" s="32">
        <f>'Absolute values'!Q11/'Absolute values'!Q$3</f>
        <v>6.1185770750988144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Fig 4</vt:lpstr>
      <vt:lpstr>Absolute values</vt:lpstr>
      <vt:lpstr>Values relative to IAM</vt:lpstr>
      <vt:lpstr>Values relative to baseline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2026-04-24T08:44:36Z</dcterms:modified>
</cp:coreProperties>
</file>