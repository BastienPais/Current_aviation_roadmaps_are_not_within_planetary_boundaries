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1_3rd_submission\Manuscript_datasets\"/>
    </mc:Choice>
  </mc:AlternateContent>
  <xr:revisionPtr revIDLastSave="0" documentId="13_ncr:1_{51E53FAA-4BE9-430F-84D9-58E62C865100}" xr6:coauthVersionLast="47" xr6:coauthVersionMax="47" xr10:uidLastSave="{00000000-0000-0000-0000-000000000000}"/>
  <bookViews>
    <workbookView xWindow="-41520" yWindow="525" windowWidth="16440" windowHeight="28320" activeTab="1" xr2:uid="{00000000-000D-0000-FFFF-FFFF00000000}"/>
  </bookViews>
  <sheets>
    <sheet name="Fig 3" sheetId="2" r:id="rId1"/>
    <sheet name="REMIND SSP2-RCP2.6" sheetId="1" r:id="rId2"/>
    <sheet name="REMIND SSP1-RCP1.9" sheetId="3" r:id="rId3"/>
    <sheet name="REMIND SSP2-NPi" sheetId="4" r:id="rId4"/>
    <sheet name="IMAGE SSP2-RCP2.6" sheetId="5" r:id="rId5"/>
    <sheet name="REMIND SSP2-RCP2.6 (GDP)" sheetId="6" r:id="rId6"/>
    <sheet name="REMIND SSP1-RCP1.9 (GDP)" sheetId="7" r:id="rId7"/>
    <sheet name="REMIND SPP2-NPi (GDP)" sheetId="8" r:id="rId8"/>
    <sheet name="IMAGE SSP2-RCP2.6 (GDP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K3" i="1" s="1"/>
  <c r="C3" i="9"/>
  <c r="D3" i="9"/>
  <c r="E3" i="9"/>
  <c r="F3" i="9"/>
  <c r="G3" i="9"/>
  <c r="H3" i="9"/>
  <c r="C4" i="9"/>
  <c r="D4" i="9"/>
  <c r="E4" i="9"/>
  <c r="F4" i="9"/>
  <c r="G4" i="9"/>
  <c r="H4" i="9"/>
  <c r="C5" i="9"/>
  <c r="D5" i="9"/>
  <c r="E5" i="9"/>
  <c r="F5" i="9"/>
  <c r="G5" i="9"/>
  <c r="H5" i="9"/>
  <c r="C6" i="9"/>
  <c r="D6" i="9"/>
  <c r="E6" i="9"/>
  <c r="F6" i="9"/>
  <c r="G6" i="9"/>
  <c r="H6" i="9"/>
  <c r="C7" i="9"/>
  <c r="D7" i="9"/>
  <c r="E7" i="9"/>
  <c r="F7" i="9"/>
  <c r="G7" i="9"/>
  <c r="H7" i="9"/>
  <c r="C8" i="9"/>
  <c r="D8" i="9"/>
  <c r="E8" i="9"/>
  <c r="F8" i="9"/>
  <c r="G8" i="9"/>
  <c r="H8" i="9"/>
  <c r="C9" i="9"/>
  <c r="D9" i="9"/>
  <c r="E9" i="9"/>
  <c r="F9" i="9"/>
  <c r="G9" i="9"/>
  <c r="H9" i="9"/>
  <c r="C10" i="9"/>
  <c r="D10" i="9"/>
  <c r="E10" i="9"/>
  <c r="F10" i="9"/>
  <c r="G10" i="9"/>
  <c r="H10" i="9"/>
  <c r="C11" i="9"/>
  <c r="D11" i="9"/>
  <c r="E11" i="9"/>
  <c r="F11" i="9"/>
  <c r="G11" i="9"/>
  <c r="H11" i="9"/>
  <c r="C12" i="9"/>
  <c r="D12" i="9"/>
  <c r="E12" i="9"/>
  <c r="F12" i="9"/>
  <c r="G12" i="9"/>
  <c r="H12" i="9"/>
  <c r="C13" i="9"/>
  <c r="D13" i="9"/>
  <c r="E13" i="9"/>
  <c r="F13" i="9"/>
  <c r="G13" i="9"/>
  <c r="H13" i="9"/>
  <c r="C14" i="9"/>
  <c r="D14" i="9"/>
  <c r="E14" i="9"/>
  <c r="F14" i="9"/>
  <c r="G14" i="9"/>
  <c r="H14" i="9"/>
  <c r="C15" i="9"/>
  <c r="D15" i="9"/>
  <c r="E15" i="9"/>
  <c r="F15" i="9"/>
  <c r="G15" i="9"/>
  <c r="H15" i="9"/>
  <c r="C16" i="9"/>
  <c r="D16" i="9"/>
  <c r="E16" i="9"/>
  <c r="F16" i="9"/>
  <c r="G16" i="9"/>
  <c r="H16" i="9"/>
  <c r="C17" i="9"/>
  <c r="D17" i="9"/>
  <c r="E17" i="9"/>
  <c r="M3" i="9" s="1"/>
  <c r="F17" i="9"/>
  <c r="G17" i="9"/>
  <c r="H17" i="9"/>
  <c r="C18" i="9"/>
  <c r="D18" i="9"/>
  <c r="E18" i="9"/>
  <c r="F18" i="9"/>
  <c r="G18" i="9"/>
  <c r="H18" i="9"/>
  <c r="C19" i="9"/>
  <c r="D19" i="9"/>
  <c r="E19" i="9"/>
  <c r="F19" i="9"/>
  <c r="G19" i="9"/>
  <c r="H19" i="9"/>
  <c r="C20" i="9"/>
  <c r="D20" i="9"/>
  <c r="E20" i="9"/>
  <c r="F20" i="9"/>
  <c r="G20" i="9"/>
  <c r="H20" i="9"/>
  <c r="C21" i="9"/>
  <c r="D21" i="9"/>
  <c r="E21" i="9"/>
  <c r="F21" i="9"/>
  <c r="G21" i="9"/>
  <c r="H21" i="9"/>
  <c r="C22" i="9"/>
  <c r="D22" i="9"/>
  <c r="E22" i="9"/>
  <c r="F22" i="9"/>
  <c r="G22" i="9"/>
  <c r="H22" i="9"/>
  <c r="C23" i="9"/>
  <c r="D23" i="9"/>
  <c r="E23" i="9"/>
  <c r="F23" i="9"/>
  <c r="G23" i="9"/>
  <c r="H23" i="9"/>
  <c r="C24" i="9"/>
  <c r="D24" i="9"/>
  <c r="E24" i="9"/>
  <c r="F24" i="9"/>
  <c r="G24" i="9"/>
  <c r="H24" i="9"/>
  <c r="C25" i="9"/>
  <c r="D25" i="9"/>
  <c r="L4" i="9" s="1"/>
  <c r="E25" i="9"/>
  <c r="F25" i="9"/>
  <c r="G25" i="9"/>
  <c r="H25" i="9"/>
  <c r="P4" i="9" s="1"/>
  <c r="C26" i="9"/>
  <c r="D26" i="9"/>
  <c r="E26" i="9"/>
  <c r="F26" i="9"/>
  <c r="G26" i="9"/>
  <c r="H26" i="9"/>
  <c r="C27" i="9"/>
  <c r="D27" i="9"/>
  <c r="E27" i="9"/>
  <c r="F27" i="9"/>
  <c r="G27" i="9"/>
  <c r="H27" i="9"/>
  <c r="C28" i="9"/>
  <c r="D28" i="9"/>
  <c r="E28" i="9"/>
  <c r="F28" i="9"/>
  <c r="G28" i="9"/>
  <c r="H28" i="9"/>
  <c r="C29" i="9"/>
  <c r="D29" i="9"/>
  <c r="E29" i="9"/>
  <c r="F29" i="9"/>
  <c r="G29" i="9"/>
  <c r="H29" i="9"/>
  <c r="C30" i="9"/>
  <c r="D30" i="9"/>
  <c r="E30" i="9"/>
  <c r="F30" i="9"/>
  <c r="G30" i="9"/>
  <c r="H30" i="9"/>
  <c r="C31" i="9"/>
  <c r="D31" i="9"/>
  <c r="E31" i="9"/>
  <c r="F31" i="9"/>
  <c r="G31" i="9"/>
  <c r="H31" i="9"/>
  <c r="C32" i="9"/>
  <c r="D32" i="9"/>
  <c r="E32" i="9"/>
  <c r="F32" i="9"/>
  <c r="G32" i="9"/>
  <c r="H32" i="9"/>
  <c r="C33" i="9"/>
  <c r="D33" i="9"/>
  <c r="L5" i="9" s="1"/>
  <c r="E33" i="9"/>
  <c r="M5" i="9" s="1"/>
  <c r="F33" i="9"/>
  <c r="G33" i="9"/>
  <c r="H33" i="9"/>
  <c r="P5" i="9" s="1"/>
  <c r="C34" i="9"/>
  <c r="D34" i="9"/>
  <c r="E34" i="9"/>
  <c r="F34" i="9"/>
  <c r="G34" i="9"/>
  <c r="H34" i="9"/>
  <c r="C35" i="9"/>
  <c r="D35" i="9"/>
  <c r="E35" i="9"/>
  <c r="F35" i="9"/>
  <c r="G35" i="9"/>
  <c r="H35" i="9"/>
  <c r="C36" i="9"/>
  <c r="D36" i="9"/>
  <c r="E36" i="9"/>
  <c r="F36" i="9"/>
  <c r="G36" i="9"/>
  <c r="H36" i="9"/>
  <c r="C37" i="9"/>
  <c r="D37" i="9"/>
  <c r="E37" i="9"/>
  <c r="F37" i="9"/>
  <c r="G37" i="9"/>
  <c r="H37" i="9"/>
  <c r="C38" i="9"/>
  <c r="D38" i="9"/>
  <c r="E38" i="9"/>
  <c r="F38" i="9"/>
  <c r="G38" i="9"/>
  <c r="H38" i="9"/>
  <c r="C39" i="9"/>
  <c r="D39" i="9"/>
  <c r="E39" i="9"/>
  <c r="F39" i="9"/>
  <c r="G39" i="9"/>
  <c r="H39" i="9"/>
  <c r="C40" i="9"/>
  <c r="D40" i="9"/>
  <c r="E40" i="9"/>
  <c r="F40" i="9"/>
  <c r="G40" i="9"/>
  <c r="H40" i="9"/>
  <c r="C41" i="9"/>
  <c r="D41" i="9"/>
  <c r="E41" i="9"/>
  <c r="M6" i="9" s="1"/>
  <c r="F41" i="9"/>
  <c r="G41" i="9"/>
  <c r="H41" i="9"/>
  <c r="P6" i="9" s="1"/>
  <c r="C42" i="9"/>
  <c r="D42" i="9"/>
  <c r="E42" i="9"/>
  <c r="F42" i="9"/>
  <c r="G42" i="9"/>
  <c r="H42" i="9"/>
  <c r="C43" i="9"/>
  <c r="D43" i="9"/>
  <c r="E43" i="9"/>
  <c r="F43" i="9"/>
  <c r="G43" i="9"/>
  <c r="H43" i="9"/>
  <c r="C44" i="9"/>
  <c r="D44" i="9"/>
  <c r="E44" i="9"/>
  <c r="F44" i="9"/>
  <c r="G44" i="9"/>
  <c r="H44" i="9"/>
  <c r="C45" i="9"/>
  <c r="D45" i="9"/>
  <c r="E45" i="9"/>
  <c r="F45" i="9"/>
  <c r="G45" i="9"/>
  <c r="H45" i="9"/>
  <c r="C46" i="9"/>
  <c r="D46" i="9"/>
  <c r="E46" i="9"/>
  <c r="F46" i="9"/>
  <c r="G46" i="9"/>
  <c r="H46" i="9"/>
  <c r="C47" i="9"/>
  <c r="D47" i="9"/>
  <c r="E47" i="9"/>
  <c r="F47" i="9"/>
  <c r="G47" i="9"/>
  <c r="H47" i="9"/>
  <c r="C48" i="9"/>
  <c r="D48" i="9"/>
  <c r="E48" i="9"/>
  <c r="F48" i="9"/>
  <c r="G48" i="9"/>
  <c r="H48" i="9"/>
  <c r="C49" i="9"/>
  <c r="D49" i="9"/>
  <c r="L7" i="9" s="1"/>
  <c r="E49" i="9"/>
  <c r="F49" i="9"/>
  <c r="G49" i="9"/>
  <c r="O7" i="9" s="1"/>
  <c r="H49" i="9"/>
  <c r="P7" i="9" s="1"/>
  <c r="C50" i="9"/>
  <c r="D50" i="9"/>
  <c r="E50" i="9"/>
  <c r="F50" i="9"/>
  <c r="G50" i="9"/>
  <c r="H50" i="9"/>
  <c r="C51" i="9"/>
  <c r="D51" i="9"/>
  <c r="E51" i="9"/>
  <c r="F51" i="9"/>
  <c r="G51" i="9"/>
  <c r="H51" i="9"/>
  <c r="C52" i="9"/>
  <c r="D52" i="9"/>
  <c r="E52" i="9"/>
  <c r="F52" i="9"/>
  <c r="G52" i="9"/>
  <c r="H52" i="9"/>
  <c r="C53" i="9"/>
  <c r="D53" i="9"/>
  <c r="E53" i="9"/>
  <c r="F53" i="9"/>
  <c r="G53" i="9"/>
  <c r="H53" i="9"/>
  <c r="C54" i="9"/>
  <c r="D54" i="9"/>
  <c r="E54" i="9"/>
  <c r="F54" i="9"/>
  <c r="G54" i="9"/>
  <c r="H54" i="9"/>
  <c r="C55" i="9"/>
  <c r="D55" i="9"/>
  <c r="E55" i="9"/>
  <c r="F55" i="9"/>
  <c r="G55" i="9"/>
  <c r="H55" i="9"/>
  <c r="C56" i="9"/>
  <c r="D56" i="9"/>
  <c r="E56" i="9"/>
  <c r="F56" i="9"/>
  <c r="G56" i="9"/>
  <c r="H56" i="9"/>
  <c r="C57" i="9"/>
  <c r="D57" i="9"/>
  <c r="L8" i="9" s="1"/>
  <c r="E57" i="9"/>
  <c r="F57" i="9"/>
  <c r="G57" i="9"/>
  <c r="O8" i="9" s="1"/>
  <c r="H57" i="9"/>
  <c r="C58" i="9"/>
  <c r="D58" i="9"/>
  <c r="E58" i="9"/>
  <c r="F58" i="9"/>
  <c r="G58" i="9"/>
  <c r="H58" i="9"/>
  <c r="C59" i="9"/>
  <c r="D59" i="9"/>
  <c r="E59" i="9"/>
  <c r="F59" i="9"/>
  <c r="G59" i="9"/>
  <c r="H59" i="9"/>
  <c r="C60" i="9"/>
  <c r="D60" i="9"/>
  <c r="E60" i="9"/>
  <c r="F60" i="9"/>
  <c r="G60" i="9"/>
  <c r="H60" i="9"/>
  <c r="C61" i="9"/>
  <c r="D61" i="9"/>
  <c r="E61" i="9"/>
  <c r="F61" i="9"/>
  <c r="G61" i="9"/>
  <c r="H61" i="9"/>
  <c r="C62" i="9"/>
  <c r="D62" i="9"/>
  <c r="E62" i="9"/>
  <c r="F62" i="9"/>
  <c r="G62" i="9"/>
  <c r="H62" i="9"/>
  <c r="C63" i="9"/>
  <c r="D63" i="9"/>
  <c r="E63" i="9"/>
  <c r="F63" i="9"/>
  <c r="G63" i="9"/>
  <c r="H63" i="9"/>
  <c r="C64" i="9"/>
  <c r="D64" i="9"/>
  <c r="E64" i="9"/>
  <c r="F64" i="9"/>
  <c r="G64" i="9"/>
  <c r="H64" i="9"/>
  <c r="C65" i="9"/>
  <c r="D65" i="9"/>
  <c r="L9" i="9" s="1"/>
  <c r="E65" i="9"/>
  <c r="F65" i="9"/>
  <c r="G65" i="9"/>
  <c r="H65" i="9"/>
  <c r="P9" i="9" s="1"/>
  <c r="C66" i="9"/>
  <c r="D66" i="9"/>
  <c r="E66" i="9"/>
  <c r="F66" i="9"/>
  <c r="G66" i="9"/>
  <c r="H66" i="9"/>
  <c r="C67" i="9"/>
  <c r="D67" i="9"/>
  <c r="E67" i="9"/>
  <c r="F67" i="9"/>
  <c r="G67" i="9"/>
  <c r="H67" i="9"/>
  <c r="C68" i="9"/>
  <c r="D68" i="9"/>
  <c r="E68" i="9"/>
  <c r="F68" i="9"/>
  <c r="G68" i="9"/>
  <c r="H68" i="9"/>
  <c r="C69" i="9"/>
  <c r="D69" i="9"/>
  <c r="E69" i="9"/>
  <c r="F69" i="9"/>
  <c r="G69" i="9"/>
  <c r="H69" i="9"/>
  <c r="C70" i="9"/>
  <c r="D70" i="9"/>
  <c r="E70" i="9"/>
  <c r="F70" i="9"/>
  <c r="G70" i="9"/>
  <c r="H70" i="9"/>
  <c r="C71" i="9"/>
  <c r="D71" i="9"/>
  <c r="E71" i="9"/>
  <c r="F71" i="9"/>
  <c r="G71" i="9"/>
  <c r="H71" i="9"/>
  <c r="C72" i="9"/>
  <c r="D72" i="9"/>
  <c r="E72" i="9"/>
  <c r="F72" i="9"/>
  <c r="G72" i="9"/>
  <c r="H72" i="9"/>
  <c r="C73" i="9"/>
  <c r="D73" i="9"/>
  <c r="L10" i="9" s="1"/>
  <c r="E73" i="9"/>
  <c r="F73" i="9"/>
  <c r="G73" i="9"/>
  <c r="H73" i="9"/>
  <c r="P10" i="9" s="1"/>
  <c r="D2" i="9"/>
  <c r="E2" i="9"/>
  <c r="F2" i="9"/>
  <c r="G2" i="9"/>
  <c r="H2" i="9"/>
  <c r="C2" i="9"/>
  <c r="C3" i="8"/>
  <c r="D3" i="8"/>
  <c r="E3" i="8"/>
  <c r="F3" i="8"/>
  <c r="G3" i="8"/>
  <c r="H3" i="8"/>
  <c r="C4" i="8"/>
  <c r="D4" i="8"/>
  <c r="E4" i="8"/>
  <c r="F4" i="8"/>
  <c r="G4" i="8"/>
  <c r="H4" i="8"/>
  <c r="C5" i="8"/>
  <c r="D5" i="8"/>
  <c r="E5" i="8"/>
  <c r="F5" i="8"/>
  <c r="G5" i="8"/>
  <c r="H5" i="8"/>
  <c r="C6" i="8"/>
  <c r="D6" i="8"/>
  <c r="E6" i="8"/>
  <c r="F6" i="8"/>
  <c r="G6" i="8"/>
  <c r="H6" i="8"/>
  <c r="C7" i="8"/>
  <c r="D7" i="8"/>
  <c r="E7" i="8"/>
  <c r="F7" i="8"/>
  <c r="G7" i="8"/>
  <c r="H7" i="8"/>
  <c r="C8" i="8"/>
  <c r="D8" i="8"/>
  <c r="E8" i="8"/>
  <c r="F8" i="8"/>
  <c r="G8" i="8"/>
  <c r="H8" i="8"/>
  <c r="C9" i="8"/>
  <c r="D9" i="8"/>
  <c r="E9" i="8"/>
  <c r="F9" i="8"/>
  <c r="G9" i="8"/>
  <c r="H9" i="8"/>
  <c r="C10" i="8"/>
  <c r="D10" i="8"/>
  <c r="E10" i="8"/>
  <c r="F10" i="8"/>
  <c r="G10" i="8"/>
  <c r="H10" i="8"/>
  <c r="C11" i="8"/>
  <c r="D11" i="8"/>
  <c r="E11" i="8"/>
  <c r="F11" i="8"/>
  <c r="G11" i="8"/>
  <c r="H11" i="8"/>
  <c r="C12" i="8"/>
  <c r="D12" i="8"/>
  <c r="E12" i="8"/>
  <c r="F12" i="8"/>
  <c r="G12" i="8"/>
  <c r="H12" i="8"/>
  <c r="C13" i="8"/>
  <c r="D13" i="8"/>
  <c r="E13" i="8"/>
  <c r="F13" i="8"/>
  <c r="G13" i="8"/>
  <c r="H13" i="8"/>
  <c r="C14" i="8"/>
  <c r="D14" i="8"/>
  <c r="E14" i="8"/>
  <c r="F14" i="8"/>
  <c r="G14" i="8"/>
  <c r="H14" i="8"/>
  <c r="C15" i="8"/>
  <c r="D15" i="8"/>
  <c r="E15" i="8"/>
  <c r="F15" i="8"/>
  <c r="G15" i="8"/>
  <c r="H15" i="8"/>
  <c r="C16" i="8"/>
  <c r="D16" i="8"/>
  <c r="E16" i="8"/>
  <c r="F16" i="8"/>
  <c r="G16" i="8"/>
  <c r="H16" i="8"/>
  <c r="C17" i="8"/>
  <c r="D17" i="8"/>
  <c r="E17" i="8"/>
  <c r="F17" i="8"/>
  <c r="G17" i="8"/>
  <c r="O3" i="8" s="1"/>
  <c r="H17" i="8"/>
  <c r="C18" i="8"/>
  <c r="D18" i="8"/>
  <c r="E18" i="8"/>
  <c r="F18" i="8"/>
  <c r="G18" i="8"/>
  <c r="H18" i="8"/>
  <c r="C19" i="8"/>
  <c r="D19" i="8"/>
  <c r="E19" i="8"/>
  <c r="F19" i="8"/>
  <c r="G19" i="8"/>
  <c r="H19" i="8"/>
  <c r="C20" i="8"/>
  <c r="D20" i="8"/>
  <c r="E20" i="8"/>
  <c r="F20" i="8"/>
  <c r="G20" i="8"/>
  <c r="H20" i="8"/>
  <c r="C21" i="8"/>
  <c r="D21" i="8"/>
  <c r="E21" i="8"/>
  <c r="F21" i="8"/>
  <c r="G21" i="8"/>
  <c r="H21" i="8"/>
  <c r="C22" i="8"/>
  <c r="D22" i="8"/>
  <c r="E22" i="8"/>
  <c r="F22" i="8"/>
  <c r="G22" i="8"/>
  <c r="H22" i="8"/>
  <c r="C23" i="8"/>
  <c r="D23" i="8"/>
  <c r="E23" i="8"/>
  <c r="F23" i="8"/>
  <c r="G23" i="8"/>
  <c r="H23" i="8"/>
  <c r="C24" i="8"/>
  <c r="D24" i="8"/>
  <c r="E24" i="8"/>
  <c r="F24" i="8"/>
  <c r="G24" i="8"/>
  <c r="H24" i="8"/>
  <c r="C25" i="8"/>
  <c r="D25" i="8"/>
  <c r="L4" i="8" s="1"/>
  <c r="E25" i="8"/>
  <c r="F25" i="8"/>
  <c r="G25" i="8"/>
  <c r="O4" i="8" s="1"/>
  <c r="H25" i="8"/>
  <c r="C26" i="8"/>
  <c r="D26" i="8"/>
  <c r="E26" i="8"/>
  <c r="F26" i="8"/>
  <c r="G26" i="8"/>
  <c r="H26" i="8"/>
  <c r="C27" i="8"/>
  <c r="D27" i="8"/>
  <c r="E27" i="8"/>
  <c r="F27" i="8"/>
  <c r="G27" i="8"/>
  <c r="H27" i="8"/>
  <c r="C28" i="8"/>
  <c r="D28" i="8"/>
  <c r="E28" i="8"/>
  <c r="F28" i="8"/>
  <c r="G28" i="8"/>
  <c r="H28" i="8"/>
  <c r="C29" i="8"/>
  <c r="D29" i="8"/>
  <c r="E29" i="8"/>
  <c r="F29" i="8"/>
  <c r="G29" i="8"/>
  <c r="H29" i="8"/>
  <c r="C30" i="8"/>
  <c r="D30" i="8"/>
  <c r="E30" i="8"/>
  <c r="F30" i="8"/>
  <c r="G30" i="8"/>
  <c r="H30" i="8"/>
  <c r="C31" i="8"/>
  <c r="D31" i="8"/>
  <c r="E31" i="8"/>
  <c r="F31" i="8"/>
  <c r="G31" i="8"/>
  <c r="H31" i="8"/>
  <c r="C32" i="8"/>
  <c r="D32" i="8"/>
  <c r="E32" i="8"/>
  <c r="F32" i="8"/>
  <c r="G32" i="8"/>
  <c r="H32" i="8"/>
  <c r="C33" i="8"/>
  <c r="K5" i="8" s="1"/>
  <c r="D33" i="8"/>
  <c r="E33" i="8"/>
  <c r="F33" i="8"/>
  <c r="N5" i="8" s="1"/>
  <c r="G33" i="8"/>
  <c r="O5" i="8" s="1"/>
  <c r="H33" i="8"/>
  <c r="P5" i="8" s="1"/>
  <c r="C34" i="8"/>
  <c r="D34" i="8"/>
  <c r="E34" i="8"/>
  <c r="F34" i="8"/>
  <c r="G34" i="8"/>
  <c r="H34" i="8"/>
  <c r="C35" i="8"/>
  <c r="D35" i="8"/>
  <c r="E35" i="8"/>
  <c r="F35" i="8"/>
  <c r="G35" i="8"/>
  <c r="H35" i="8"/>
  <c r="C36" i="8"/>
  <c r="D36" i="8"/>
  <c r="E36" i="8"/>
  <c r="F36" i="8"/>
  <c r="G36" i="8"/>
  <c r="H36" i="8"/>
  <c r="C37" i="8"/>
  <c r="D37" i="8"/>
  <c r="E37" i="8"/>
  <c r="F37" i="8"/>
  <c r="G37" i="8"/>
  <c r="H37" i="8"/>
  <c r="C38" i="8"/>
  <c r="D38" i="8"/>
  <c r="E38" i="8"/>
  <c r="F38" i="8"/>
  <c r="G38" i="8"/>
  <c r="H38" i="8"/>
  <c r="C39" i="8"/>
  <c r="D39" i="8"/>
  <c r="E39" i="8"/>
  <c r="F39" i="8"/>
  <c r="G39" i="8"/>
  <c r="H39" i="8"/>
  <c r="C40" i="8"/>
  <c r="D40" i="8"/>
  <c r="E40" i="8"/>
  <c r="F40" i="8"/>
  <c r="G40" i="8"/>
  <c r="H40" i="8"/>
  <c r="C41" i="8"/>
  <c r="D41" i="8"/>
  <c r="L6" i="8" s="1"/>
  <c r="E41" i="8"/>
  <c r="F41" i="8"/>
  <c r="N6" i="8" s="1"/>
  <c r="G41" i="8"/>
  <c r="O6" i="8" s="1"/>
  <c r="H41" i="8"/>
  <c r="C42" i="8"/>
  <c r="D42" i="8"/>
  <c r="E42" i="8"/>
  <c r="F42" i="8"/>
  <c r="G42" i="8"/>
  <c r="H42" i="8"/>
  <c r="C43" i="8"/>
  <c r="D43" i="8"/>
  <c r="E43" i="8"/>
  <c r="F43" i="8"/>
  <c r="G43" i="8"/>
  <c r="H43" i="8"/>
  <c r="C44" i="8"/>
  <c r="D44" i="8"/>
  <c r="E44" i="8"/>
  <c r="F44" i="8"/>
  <c r="G44" i="8"/>
  <c r="H44" i="8"/>
  <c r="C45" i="8"/>
  <c r="D45" i="8"/>
  <c r="E45" i="8"/>
  <c r="F45" i="8"/>
  <c r="G45" i="8"/>
  <c r="H45" i="8"/>
  <c r="C46" i="8"/>
  <c r="D46" i="8"/>
  <c r="E46" i="8"/>
  <c r="F46" i="8"/>
  <c r="G46" i="8"/>
  <c r="H46" i="8"/>
  <c r="C47" i="8"/>
  <c r="D47" i="8"/>
  <c r="E47" i="8"/>
  <c r="F47" i="8"/>
  <c r="G47" i="8"/>
  <c r="H47" i="8"/>
  <c r="C48" i="8"/>
  <c r="D48" i="8"/>
  <c r="E48" i="8"/>
  <c r="F48" i="8"/>
  <c r="G48" i="8"/>
  <c r="H48" i="8"/>
  <c r="C49" i="8"/>
  <c r="K7" i="8" s="1"/>
  <c r="D49" i="8"/>
  <c r="L7" i="8" s="1"/>
  <c r="E49" i="8"/>
  <c r="M7" i="8" s="1"/>
  <c r="F49" i="8"/>
  <c r="N7" i="8" s="1"/>
  <c r="G49" i="8"/>
  <c r="O7" i="8" s="1"/>
  <c r="H49" i="8"/>
  <c r="C50" i="8"/>
  <c r="D50" i="8"/>
  <c r="E50" i="8"/>
  <c r="F50" i="8"/>
  <c r="G50" i="8"/>
  <c r="H50" i="8"/>
  <c r="C51" i="8"/>
  <c r="D51" i="8"/>
  <c r="E51" i="8"/>
  <c r="F51" i="8"/>
  <c r="G51" i="8"/>
  <c r="H51" i="8"/>
  <c r="C52" i="8"/>
  <c r="D52" i="8"/>
  <c r="E52" i="8"/>
  <c r="F52" i="8"/>
  <c r="G52" i="8"/>
  <c r="H52" i="8"/>
  <c r="C53" i="8"/>
  <c r="D53" i="8"/>
  <c r="E53" i="8"/>
  <c r="F53" i="8"/>
  <c r="G53" i="8"/>
  <c r="H53" i="8"/>
  <c r="C54" i="8"/>
  <c r="D54" i="8"/>
  <c r="E54" i="8"/>
  <c r="F54" i="8"/>
  <c r="G54" i="8"/>
  <c r="H54" i="8"/>
  <c r="C55" i="8"/>
  <c r="D55" i="8"/>
  <c r="E55" i="8"/>
  <c r="F55" i="8"/>
  <c r="G55" i="8"/>
  <c r="H55" i="8"/>
  <c r="C56" i="8"/>
  <c r="D56" i="8"/>
  <c r="E56" i="8"/>
  <c r="F56" i="8"/>
  <c r="G56" i="8"/>
  <c r="H56" i="8"/>
  <c r="C57" i="8"/>
  <c r="K8" i="8" s="1"/>
  <c r="D57" i="8"/>
  <c r="L8" i="8" s="1"/>
  <c r="E57" i="8"/>
  <c r="F57" i="8"/>
  <c r="G57" i="8"/>
  <c r="H57" i="8"/>
  <c r="P8" i="8" s="1"/>
  <c r="C58" i="8"/>
  <c r="D58" i="8"/>
  <c r="E58" i="8"/>
  <c r="F58" i="8"/>
  <c r="G58" i="8"/>
  <c r="H58" i="8"/>
  <c r="C59" i="8"/>
  <c r="D59" i="8"/>
  <c r="E59" i="8"/>
  <c r="F59" i="8"/>
  <c r="G59" i="8"/>
  <c r="H59" i="8"/>
  <c r="C60" i="8"/>
  <c r="D60" i="8"/>
  <c r="E60" i="8"/>
  <c r="F60" i="8"/>
  <c r="G60" i="8"/>
  <c r="H60" i="8"/>
  <c r="C61" i="8"/>
  <c r="D61" i="8"/>
  <c r="E61" i="8"/>
  <c r="F61" i="8"/>
  <c r="G61" i="8"/>
  <c r="H61" i="8"/>
  <c r="C62" i="8"/>
  <c r="D62" i="8"/>
  <c r="E62" i="8"/>
  <c r="F62" i="8"/>
  <c r="G62" i="8"/>
  <c r="H62" i="8"/>
  <c r="C63" i="8"/>
  <c r="D63" i="8"/>
  <c r="E63" i="8"/>
  <c r="F63" i="8"/>
  <c r="G63" i="8"/>
  <c r="H63" i="8"/>
  <c r="C64" i="8"/>
  <c r="D64" i="8"/>
  <c r="E64" i="8"/>
  <c r="F64" i="8"/>
  <c r="G64" i="8"/>
  <c r="H64" i="8"/>
  <c r="C65" i="8"/>
  <c r="D65" i="8"/>
  <c r="L9" i="8" s="1"/>
  <c r="E65" i="8"/>
  <c r="F65" i="8"/>
  <c r="G65" i="8"/>
  <c r="O9" i="8" s="1"/>
  <c r="H65" i="8"/>
  <c r="C66" i="8"/>
  <c r="D66" i="8"/>
  <c r="E66" i="8"/>
  <c r="F66" i="8"/>
  <c r="G66" i="8"/>
  <c r="H66" i="8"/>
  <c r="C67" i="8"/>
  <c r="D67" i="8"/>
  <c r="E67" i="8"/>
  <c r="F67" i="8"/>
  <c r="G67" i="8"/>
  <c r="H67" i="8"/>
  <c r="C68" i="8"/>
  <c r="D68" i="8"/>
  <c r="E68" i="8"/>
  <c r="F68" i="8"/>
  <c r="G68" i="8"/>
  <c r="H68" i="8"/>
  <c r="C69" i="8"/>
  <c r="D69" i="8"/>
  <c r="E69" i="8"/>
  <c r="F69" i="8"/>
  <c r="G69" i="8"/>
  <c r="H69" i="8"/>
  <c r="C70" i="8"/>
  <c r="D70" i="8"/>
  <c r="E70" i="8"/>
  <c r="F70" i="8"/>
  <c r="G70" i="8"/>
  <c r="H70" i="8"/>
  <c r="C71" i="8"/>
  <c r="D71" i="8"/>
  <c r="E71" i="8"/>
  <c r="F71" i="8"/>
  <c r="G71" i="8"/>
  <c r="H71" i="8"/>
  <c r="C72" i="8"/>
  <c r="D72" i="8"/>
  <c r="E72" i="8"/>
  <c r="F72" i="8"/>
  <c r="G72" i="8"/>
  <c r="H72" i="8"/>
  <c r="C73" i="8"/>
  <c r="K10" i="8" s="1"/>
  <c r="D73" i="8"/>
  <c r="E73" i="8"/>
  <c r="F73" i="8"/>
  <c r="G73" i="8"/>
  <c r="H73" i="8"/>
  <c r="D2" i="8"/>
  <c r="E2" i="8"/>
  <c r="F2" i="8"/>
  <c r="G2" i="8"/>
  <c r="H2" i="8"/>
  <c r="C2" i="8"/>
  <c r="M10" i="9"/>
  <c r="M9" i="9"/>
  <c r="P8" i="9"/>
  <c r="M8" i="9"/>
  <c r="M7" i="9"/>
  <c r="M4" i="9"/>
  <c r="P3" i="9"/>
  <c r="L3" i="9"/>
  <c r="O10" i="9"/>
  <c r="K10" i="9"/>
  <c r="K9" i="9"/>
  <c r="O9" i="9"/>
  <c r="N8" i="9"/>
  <c r="K8" i="9"/>
  <c r="N7" i="9"/>
  <c r="K7" i="9"/>
  <c r="O6" i="9"/>
  <c r="K6" i="9"/>
  <c r="O5" i="9"/>
  <c r="K5" i="9"/>
  <c r="O4" i="9"/>
  <c r="K4" i="9"/>
  <c r="O3" i="9"/>
  <c r="N3" i="9"/>
  <c r="K3" i="9"/>
  <c r="L10" i="8"/>
  <c r="P9" i="8"/>
  <c r="K9" i="8"/>
  <c r="P7" i="8"/>
  <c r="K4" i="8"/>
  <c r="P3" i="8"/>
  <c r="K3" i="8"/>
  <c r="N10" i="8"/>
  <c r="N9" i="8"/>
  <c r="O10" i="8"/>
  <c r="O8" i="8"/>
  <c r="N8" i="8"/>
  <c r="K6" i="8"/>
  <c r="L5" i="8"/>
  <c r="N4" i="8"/>
  <c r="N3" i="8"/>
  <c r="L3" i="8"/>
  <c r="C3" i="7"/>
  <c r="D3" i="7"/>
  <c r="E3" i="7"/>
  <c r="F3" i="7"/>
  <c r="G3" i="7"/>
  <c r="H3" i="7"/>
  <c r="C4" i="7"/>
  <c r="D4" i="7"/>
  <c r="E4" i="7"/>
  <c r="F4" i="7"/>
  <c r="G4" i="7"/>
  <c r="H4" i="7"/>
  <c r="C5" i="7"/>
  <c r="D5" i="7"/>
  <c r="E5" i="7"/>
  <c r="F5" i="7"/>
  <c r="G5" i="7"/>
  <c r="H5" i="7"/>
  <c r="C6" i="7"/>
  <c r="D6" i="7"/>
  <c r="E6" i="7"/>
  <c r="F6" i="7"/>
  <c r="G6" i="7"/>
  <c r="H6" i="7"/>
  <c r="C7" i="7"/>
  <c r="D7" i="7"/>
  <c r="E7" i="7"/>
  <c r="F7" i="7"/>
  <c r="G7" i="7"/>
  <c r="H7" i="7"/>
  <c r="C8" i="7"/>
  <c r="D8" i="7"/>
  <c r="E8" i="7"/>
  <c r="F8" i="7"/>
  <c r="G8" i="7"/>
  <c r="H8" i="7"/>
  <c r="C9" i="7"/>
  <c r="D9" i="7"/>
  <c r="E9" i="7"/>
  <c r="F9" i="7"/>
  <c r="G9" i="7"/>
  <c r="H9" i="7"/>
  <c r="C10" i="7"/>
  <c r="D10" i="7"/>
  <c r="E10" i="7"/>
  <c r="F10" i="7"/>
  <c r="G10" i="7"/>
  <c r="H10" i="7"/>
  <c r="C11" i="7"/>
  <c r="D11" i="7"/>
  <c r="E11" i="7"/>
  <c r="F11" i="7"/>
  <c r="G11" i="7"/>
  <c r="H11" i="7"/>
  <c r="C12" i="7"/>
  <c r="D12" i="7"/>
  <c r="E12" i="7"/>
  <c r="F12" i="7"/>
  <c r="G12" i="7"/>
  <c r="H12" i="7"/>
  <c r="C13" i="7"/>
  <c r="D13" i="7"/>
  <c r="E13" i="7"/>
  <c r="F13" i="7"/>
  <c r="G13" i="7"/>
  <c r="H13" i="7"/>
  <c r="C14" i="7"/>
  <c r="D14" i="7"/>
  <c r="E14" i="7"/>
  <c r="F14" i="7"/>
  <c r="G14" i="7"/>
  <c r="H14" i="7"/>
  <c r="C15" i="7"/>
  <c r="D15" i="7"/>
  <c r="E15" i="7"/>
  <c r="F15" i="7"/>
  <c r="G15" i="7"/>
  <c r="H15" i="7"/>
  <c r="C16" i="7"/>
  <c r="D16" i="7"/>
  <c r="E16" i="7"/>
  <c r="F16" i="7"/>
  <c r="G16" i="7"/>
  <c r="H16" i="7"/>
  <c r="C17" i="7"/>
  <c r="D17" i="7"/>
  <c r="E17" i="7"/>
  <c r="M3" i="7" s="1"/>
  <c r="F17" i="7"/>
  <c r="G17" i="7"/>
  <c r="O3" i="7" s="1"/>
  <c r="H17" i="7"/>
  <c r="P3" i="7" s="1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C21" i="7"/>
  <c r="D21" i="7"/>
  <c r="E21" i="7"/>
  <c r="F21" i="7"/>
  <c r="G21" i="7"/>
  <c r="H21" i="7"/>
  <c r="C22" i="7"/>
  <c r="D22" i="7"/>
  <c r="E22" i="7"/>
  <c r="F22" i="7"/>
  <c r="G22" i="7"/>
  <c r="H22" i="7"/>
  <c r="C23" i="7"/>
  <c r="D23" i="7"/>
  <c r="E23" i="7"/>
  <c r="F23" i="7"/>
  <c r="G23" i="7"/>
  <c r="H23" i="7"/>
  <c r="C24" i="7"/>
  <c r="D24" i="7"/>
  <c r="E24" i="7"/>
  <c r="F24" i="7"/>
  <c r="G24" i="7"/>
  <c r="H24" i="7"/>
  <c r="C25" i="7"/>
  <c r="D25" i="7"/>
  <c r="E25" i="7"/>
  <c r="M4" i="7" s="1"/>
  <c r="F25" i="7"/>
  <c r="G25" i="7"/>
  <c r="H25" i="7"/>
  <c r="C26" i="7"/>
  <c r="D26" i="7"/>
  <c r="E26" i="7"/>
  <c r="F26" i="7"/>
  <c r="G26" i="7"/>
  <c r="H26" i="7"/>
  <c r="C27" i="7"/>
  <c r="D27" i="7"/>
  <c r="E27" i="7"/>
  <c r="F27" i="7"/>
  <c r="G27" i="7"/>
  <c r="H27" i="7"/>
  <c r="C28" i="7"/>
  <c r="D28" i="7"/>
  <c r="E28" i="7"/>
  <c r="F28" i="7"/>
  <c r="G28" i="7"/>
  <c r="H28" i="7"/>
  <c r="C29" i="7"/>
  <c r="D29" i="7"/>
  <c r="E29" i="7"/>
  <c r="F29" i="7"/>
  <c r="G29" i="7"/>
  <c r="H29" i="7"/>
  <c r="C30" i="7"/>
  <c r="D30" i="7"/>
  <c r="E30" i="7"/>
  <c r="F30" i="7"/>
  <c r="G30" i="7"/>
  <c r="H30" i="7"/>
  <c r="C31" i="7"/>
  <c r="D31" i="7"/>
  <c r="E31" i="7"/>
  <c r="F31" i="7"/>
  <c r="G31" i="7"/>
  <c r="H31" i="7"/>
  <c r="C32" i="7"/>
  <c r="D32" i="7"/>
  <c r="E32" i="7"/>
  <c r="F32" i="7"/>
  <c r="G32" i="7"/>
  <c r="H32" i="7"/>
  <c r="C33" i="7"/>
  <c r="D33" i="7"/>
  <c r="E33" i="7"/>
  <c r="M5" i="7" s="1"/>
  <c r="F33" i="7"/>
  <c r="G33" i="7"/>
  <c r="O5" i="7" s="1"/>
  <c r="H33" i="7"/>
  <c r="C34" i="7"/>
  <c r="D34" i="7"/>
  <c r="E34" i="7"/>
  <c r="F34" i="7"/>
  <c r="G34" i="7"/>
  <c r="H34" i="7"/>
  <c r="C35" i="7"/>
  <c r="D35" i="7"/>
  <c r="E35" i="7"/>
  <c r="F35" i="7"/>
  <c r="G35" i="7"/>
  <c r="H35" i="7"/>
  <c r="C36" i="7"/>
  <c r="D36" i="7"/>
  <c r="E36" i="7"/>
  <c r="F36" i="7"/>
  <c r="G36" i="7"/>
  <c r="H36" i="7"/>
  <c r="C37" i="7"/>
  <c r="D37" i="7"/>
  <c r="E37" i="7"/>
  <c r="F37" i="7"/>
  <c r="G37" i="7"/>
  <c r="H37" i="7"/>
  <c r="C38" i="7"/>
  <c r="D38" i="7"/>
  <c r="E38" i="7"/>
  <c r="F38" i="7"/>
  <c r="G38" i="7"/>
  <c r="H38" i="7"/>
  <c r="C39" i="7"/>
  <c r="D39" i="7"/>
  <c r="E39" i="7"/>
  <c r="F39" i="7"/>
  <c r="G39" i="7"/>
  <c r="H39" i="7"/>
  <c r="C40" i="7"/>
  <c r="D40" i="7"/>
  <c r="E40" i="7"/>
  <c r="F40" i="7"/>
  <c r="G40" i="7"/>
  <c r="H40" i="7"/>
  <c r="C41" i="7"/>
  <c r="D41" i="7"/>
  <c r="E41" i="7"/>
  <c r="M6" i="7" s="1"/>
  <c r="F41" i="7"/>
  <c r="N6" i="7" s="1"/>
  <c r="G41" i="7"/>
  <c r="O6" i="7" s="1"/>
  <c r="H41" i="7"/>
  <c r="C42" i="7"/>
  <c r="D42" i="7"/>
  <c r="E42" i="7"/>
  <c r="F42" i="7"/>
  <c r="G42" i="7"/>
  <c r="H42" i="7"/>
  <c r="C43" i="7"/>
  <c r="D43" i="7"/>
  <c r="E43" i="7"/>
  <c r="F43" i="7"/>
  <c r="G43" i="7"/>
  <c r="H43" i="7"/>
  <c r="C44" i="7"/>
  <c r="D44" i="7"/>
  <c r="E44" i="7"/>
  <c r="F44" i="7"/>
  <c r="G44" i="7"/>
  <c r="H44" i="7"/>
  <c r="C45" i="7"/>
  <c r="D45" i="7"/>
  <c r="E45" i="7"/>
  <c r="F45" i="7"/>
  <c r="G45" i="7"/>
  <c r="H45" i="7"/>
  <c r="C46" i="7"/>
  <c r="D46" i="7"/>
  <c r="E46" i="7"/>
  <c r="F46" i="7"/>
  <c r="G46" i="7"/>
  <c r="H46" i="7"/>
  <c r="C47" i="7"/>
  <c r="D47" i="7"/>
  <c r="E47" i="7"/>
  <c r="F47" i="7"/>
  <c r="G47" i="7"/>
  <c r="H47" i="7"/>
  <c r="C48" i="7"/>
  <c r="D48" i="7"/>
  <c r="E48" i="7"/>
  <c r="F48" i="7"/>
  <c r="G48" i="7"/>
  <c r="H48" i="7"/>
  <c r="C49" i="7"/>
  <c r="K7" i="7" s="1"/>
  <c r="D49" i="7"/>
  <c r="L7" i="7" s="1"/>
  <c r="E49" i="7"/>
  <c r="M7" i="7" s="1"/>
  <c r="F49" i="7"/>
  <c r="N7" i="7" s="1"/>
  <c r="G49" i="7"/>
  <c r="O7" i="7" s="1"/>
  <c r="H49" i="7"/>
  <c r="P7" i="7" s="1"/>
  <c r="C50" i="7"/>
  <c r="D50" i="7"/>
  <c r="E50" i="7"/>
  <c r="F50" i="7"/>
  <c r="G50" i="7"/>
  <c r="H50" i="7"/>
  <c r="C51" i="7"/>
  <c r="D51" i="7"/>
  <c r="E51" i="7"/>
  <c r="F51" i="7"/>
  <c r="G51" i="7"/>
  <c r="H51" i="7"/>
  <c r="C52" i="7"/>
  <c r="D52" i="7"/>
  <c r="E52" i="7"/>
  <c r="F52" i="7"/>
  <c r="G52" i="7"/>
  <c r="H52" i="7"/>
  <c r="C53" i="7"/>
  <c r="D53" i="7"/>
  <c r="E53" i="7"/>
  <c r="F53" i="7"/>
  <c r="G53" i="7"/>
  <c r="H53" i="7"/>
  <c r="C54" i="7"/>
  <c r="D54" i="7"/>
  <c r="E54" i="7"/>
  <c r="F54" i="7"/>
  <c r="G54" i="7"/>
  <c r="H54" i="7"/>
  <c r="C55" i="7"/>
  <c r="D55" i="7"/>
  <c r="E55" i="7"/>
  <c r="F55" i="7"/>
  <c r="G55" i="7"/>
  <c r="H55" i="7"/>
  <c r="C56" i="7"/>
  <c r="D56" i="7"/>
  <c r="E56" i="7"/>
  <c r="F56" i="7"/>
  <c r="G56" i="7"/>
  <c r="H56" i="7"/>
  <c r="C57" i="7"/>
  <c r="K8" i="7" s="1"/>
  <c r="D57" i="7"/>
  <c r="L8" i="7" s="1"/>
  <c r="E57" i="7"/>
  <c r="M8" i="7" s="1"/>
  <c r="F57" i="7"/>
  <c r="G57" i="7"/>
  <c r="O8" i="7" s="1"/>
  <c r="H57" i="7"/>
  <c r="P8" i="7" s="1"/>
  <c r="C58" i="7"/>
  <c r="D58" i="7"/>
  <c r="E58" i="7"/>
  <c r="F58" i="7"/>
  <c r="G58" i="7"/>
  <c r="H58" i="7"/>
  <c r="C59" i="7"/>
  <c r="D59" i="7"/>
  <c r="E59" i="7"/>
  <c r="F59" i="7"/>
  <c r="G59" i="7"/>
  <c r="H59" i="7"/>
  <c r="C60" i="7"/>
  <c r="D60" i="7"/>
  <c r="E60" i="7"/>
  <c r="F60" i="7"/>
  <c r="G60" i="7"/>
  <c r="H60" i="7"/>
  <c r="C61" i="7"/>
  <c r="D61" i="7"/>
  <c r="E61" i="7"/>
  <c r="F61" i="7"/>
  <c r="G61" i="7"/>
  <c r="H61" i="7"/>
  <c r="C62" i="7"/>
  <c r="D62" i="7"/>
  <c r="E62" i="7"/>
  <c r="F62" i="7"/>
  <c r="G62" i="7"/>
  <c r="H62" i="7"/>
  <c r="C63" i="7"/>
  <c r="D63" i="7"/>
  <c r="E63" i="7"/>
  <c r="F63" i="7"/>
  <c r="G63" i="7"/>
  <c r="H63" i="7"/>
  <c r="C64" i="7"/>
  <c r="D64" i="7"/>
  <c r="E64" i="7"/>
  <c r="F64" i="7"/>
  <c r="G64" i="7"/>
  <c r="H64" i="7"/>
  <c r="C65" i="7"/>
  <c r="K9" i="7" s="1"/>
  <c r="D65" i="7"/>
  <c r="L9" i="7" s="1"/>
  <c r="E65" i="7"/>
  <c r="M9" i="7" s="1"/>
  <c r="F65" i="7"/>
  <c r="N9" i="7" s="1"/>
  <c r="G65" i="7"/>
  <c r="O9" i="7" s="1"/>
  <c r="H65" i="7"/>
  <c r="C66" i="7"/>
  <c r="D66" i="7"/>
  <c r="E66" i="7"/>
  <c r="F66" i="7"/>
  <c r="G66" i="7"/>
  <c r="H66" i="7"/>
  <c r="C67" i="7"/>
  <c r="D67" i="7"/>
  <c r="E67" i="7"/>
  <c r="F67" i="7"/>
  <c r="G67" i="7"/>
  <c r="H67" i="7"/>
  <c r="C68" i="7"/>
  <c r="D68" i="7"/>
  <c r="E68" i="7"/>
  <c r="F68" i="7"/>
  <c r="G68" i="7"/>
  <c r="H68" i="7"/>
  <c r="C69" i="7"/>
  <c r="D69" i="7"/>
  <c r="E69" i="7"/>
  <c r="F69" i="7"/>
  <c r="G69" i="7"/>
  <c r="H69" i="7"/>
  <c r="C70" i="7"/>
  <c r="D70" i="7"/>
  <c r="E70" i="7"/>
  <c r="F70" i="7"/>
  <c r="G70" i="7"/>
  <c r="H70" i="7"/>
  <c r="C71" i="7"/>
  <c r="D71" i="7"/>
  <c r="E71" i="7"/>
  <c r="F71" i="7"/>
  <c r="G71" i="7"/>
  <c r="H71" i="7"/>
  <c r="C72" i="7"/>
  <c r="D72" i="7"/>
  <c r="E72" i="7"/>
  <c r="F72" i="7"/>
  <c r="G72" i="7"/>
  <c r="H72" i="7"/>
  <c r="C73" i="7"/>
  <c r="D73" i="7"/>
  <c r="L10" i="7" s="1"/>
  <c r="E73" i="7"/>
  <c r="M10" i="7" s="1"/>
  <c r="F73" i="7"/>
  <c r="G73" i="7"/>
  <c r="O10" i="7" s="1"/>
  <c r="H73" i="7"/>
  <c r="D2" i="7"/>
  <c r="E2" i="7"/>
  <c r="F2" i="7"/>
  <c r="G2" i="7"/>
  <c r="H2" i="7"/>
  <c r="C2" i="7"/>
  <c r="C2" i="6"/>
  <c r="N5" i="7"/>
  <c r="L4" i="7"/>
  <c r="K4" i="7"/>
  <c r="N3" i="7"/>
  <c r="L3" i="7"/>
  <c r="K10" i="7"/>
  <c r="N8" i="7"/>
  <c r="L6" i="7"/>
  <c r="K6" i="7"/>
  <c r="K5" i="7"/>
  <c r="O4" i="7"/>
  <c r="K3" i="7"/>
  <c r="N22" i="1"/>
  <c r="P16" i="1"/>
  <c r="L3" i="3"/>
  <c r="M3" i="3"/>
  <c r="N4" i="3"/>
  <c r="P4" i="3"/>
  <c r="K6" i="3"/>
  <c r="L7" i="3"/>
  <c r="O8" i="3"/>
  <c r="P9" i="3"/>
  <c r="L10" i="3"/>
  <c r="O10" i="3"/>
  <c r="M10" i="3"/>
  <c r="K10" i="3"/>
  <c r="N8" i="3"/>
  <c r="K8" i="3"/>
  <c r="N7" i="3"/>
  <c r="M7" i="3"/>
  <c r="P5" i="3"/>
  <c r="O5" i="3"/>
  <c r="N5" i="3"/>
  <c r="M5" i="3"/>
  <c r="O4" i="3"/>
  <c r="N3" i="3"/>
  <c r="P8" i="3"/>
  <c r="O3" i="3"/>
  <c r="K5" i="3"/>
  <c r="P10" i="3"/>
  <c r="N20" i="1"/>
  <c r="M15" i="1"/>
  <c r="O7" i="3"/>
  <c r="H73" i="1"/>
  <c r="H73" i="6" s="1"/>
  <c r="G73" i="1"/>
  <c r="F73" i="1"/>
  <c r="E73" i="1"/>
  <c r="M21" i="1" s="1"/>
  <c r="H65" i="1"/>
  <c r="P17" i="1" s="1"/>
  <c r="G65" i="1"/>
  <c r="F65" i="1"/>
  <c r="E65" i="1"/>
  <c r="H57" i="1"/>
  <c r="P8" i="1" s="1"/>
  <c r="G57" i="1"/>
  <c r="O8" i="1" s="1"/>
  <c r="F57" i="1"/>
  <c r="E57" i="1"/>
  <c r="H49" i="1"/>
  <c r="H49" i="6" s="1"/>
  <c r="G49" i="1"/>
  <c r="F49" i="1"/>
  <c r="F49" i="6" s="1"/>
  <c r="E49" i="1"/>
  <c r="H41" i="1"/>
  <c r="P6" i="1" s="1"/>
  <c r="G41" i="1"/>
  <c r="F41" i="1"/>
  <c r="E41" i="1"/>
  <c r="H33" i="1"/>
  <c r="G33" i="1"/>
  <c r="F33" i="1"/>
  <c r="E33" i="1"/>
  <c r="H25" i="1"/>
  <c r="H25" i="6" s="1"/>
  <c r="G25" i="1"/>
  <c r="F25" i="1"/>
  <c r="E25" i="1"/>
  <c r="E25" i="6" s="1"/>
  <c r="H17" i="1"/>
  <c r="H17" i="6" s="1"/>
  <c r="G17" i="1"/>
  <c r="F17" i="1"/>
  <c r="E17" i="1"/>
  <c r="D10" i="1"/>
  <c r="D18" i="1" s="1"/>
  <c r="C10" i="1"/>
  <c r="C18" i="1" s="1"/>
  <c r="H9" i="1"/>
  <c r="H9" i="6" s="1"/>
  <c r="G9" i="1"/>
  <c r="F9" i="1"/>
  <c r="E9" i="1"/>
  <c r="M7" i="1" s="1"/>
  <c r="D9" i="1"/>
  <c r="D9" i="6" s="1"/>
  <c r="C9" i="6"/>
  <c r="O10" i="1"/>
  <c r="G65" i="6"/>
  <c r="F65" i="6"/>
  <c r="O6" i="1"/>
  <c r="N5" i="1"/>
  <c r="O4" i="1"/>
  <c r="F17" i="6"/>
  <c r="M20" i="1"/>
  <c r="N21" i="1"/>
  <c r="M16" i="1"/>
  <c r="M17" i="1"/>
  <c r="M6" i="3"/>
  <c r="N6" i="3"/>
  <c r="P6" i="3"/>
  <c r="M9" i="3"/>
  <c r="N9" i="3"/>
  <c r="C3" i="6"/>
  <c r="D3" i="6"/>
  <c r="E3" i="6"/>
  <c r="F3" i="6"/>
  <c r="G3" i="6"/>
  <c r="H3" i="6"/>
  <c r="C4" i="6"/>
  <c r="D4" i="6"/>
  <c r="E4" i="6"/>
  <c r="F4" i="6"/>
  <c r="G4" i="6"/>
  <c r="H4" i="6"/>
  <c r="C5" i="6"/>
  <c r="D5" i="6"/>
  <c r="E5" i="6"/>
  <c r="F5" i="6"/>
  <c r="G5" i="6"/>
  <c r="H5" i="6"/>
  <c r="C6" i="6"/>
  <c r="D6" i="6"/>
  <c r="E6" i="6"/>
  <c r="F6" i="6"/>
  <c r="G6" i="6"/>
  <c r="H6" i="6"/>
  <c r="C7" i="6"/>
  <c r="D7" i="6"/>
  <c r="E7" i="6"/>
  <c r="F7" i="6"/>
  <c r="G7" i="6"/>
  <c r="H7" i="6"/>
  <c r="C8" i="6"/>
  <c r="D8" i="6"/>
  <c r="E8" i="6"/>
  <c r="F8" i="6"/>
  <c r="G8" i="6"/>
  <c r="H8" i="6"/>
  <c r="F9" i="6"/>
  <c r="G9" i="6"/>
  <c r="E10" i="6"/>
  <c r="F10" i="6"/>
  <c r="G10" i="6"/>
  <c r="H10" i="6"/>
  <c r="C11" i="6"/>
  <c r="D11" i="6"/>
  <c r="E11" i="6"/>
  <c r="F11" i="6"/>
  <c r="G11" i="6"/>
  <c r="H11" i="6"/>
  <c r="C12" i="6"/>
  <c r="D12" i="6"/>
  <c r="E12" i="6"/>
  <c r="F12" i="6"/>
  <c r="G12" i="6"/>
  <c r="H12" i="6"/>
  <c r="C13" i="6"/>
  <c r="D13" i="6"/>
  <c r="E13" i="6"/>
  <c r="F13" i="6"/>
  <c r="G13" i="6"/>
  <c r="H13" i="6"/>
  <c r="C14" i="6"/>
  <c r="D14" i="6"/>
  <c r="E14" i="6"/>
  <c r="F14" i="6"/>
  <c r="G14" i="6"/>
  <c r="H14" i="6"/>
  <c r="C15" i="6"/>
  <c r="D15" i="6"/>
  <c r="E15" i="6"/>
  <c r="F15" i="6"/>
  <c r="G15" i="6"/>
  <c r="H15" i="6"/>
  <c r="C16" i="6"/>
  <c r="D16" i="6"/>
  <c r="E16" i="6"/>
  <c r="F16" i="6"/>
  <c r="G16" i="6"/>
  <c r="H16" i="6"/>
  <c r="E17" i="6"/>
  <c r="G17" i="6"/>
  <c r="O3" i="6" s="1"/>
  <c r="E18" i="6"/>
  <c r="F18" i="6"/>
  <c r="G18" i="6"/>
  <c r="H18" i="6"/>
  <c r="C19" i="6"/>
  <c r="D19" i="6"/>
  <c r="E19" i="6"/>
  <c r="F19" i="6"/>
  <c r="G19" i="6"/>
  <c r="H19" i="6"/>
  <c r="C20" i="6"/>
  <c r="D20" i="6"/>
  <c r="E20" i="6"/>
  <c r="F20" i="6"/>
  <c r="G20" i="6"/>
  <c r="H20" i="6"/>
  <c r="C21" i="6"/>
  <c r="D21" i="6"/>
  <c r="E21" i="6"/>
  <c r="F21" i="6"/>
  <c r="G21" i="6"/>
  <c r="H21" i="6"/>
  <c r="C22" i="6"/>
  <c r="D22" i="6"/>
  <c r="E22" i="6"/>
  <c r="F22" i="6"/>
  <c r="G22" i="6"/>
  <c r="H22" i="6"/>
  <c r="C23" i="6"/>
  <c r="D23" i="6"/>
  <c r="E23" i="6"/>
  <c r="F23" i="6"/>
  <c r="G23" i="6"/>
  <c r="H23" i="6"/>
  <c r="C24" i="6"/>
  <c r="D24" i="6"/>
  <c r="E24" i="6"/>
  <c r="F24" i="6"/>
  <c r="G24" i="6"/>
  <c r="H24" i="6"/>
  <c r="F25" i="6"/>
  <c r="N4" i="6" s="1"/>
  <c r="G25" i="6"/>
  <c r="E26" i="6"/>
  <c r="F26" i="6"/>
  <c r="G26" i="6"/>
  <c r="H26" i="6"/>
  <c r="C27" i="6"/>
  <c r="D27" i="6"/>
  <c r="E27" i="6"/>
  <c r="F27" i="6"/>
  <c r="G27" i="6"/>
  <c r="H27" i="6"/>
  <c r="C28" i="6"/>
  <c r="D28" i="6"/>
  <c r="E28" i="6"/>
  <c r="F28" i="6"/>
  <c r="G28" i="6"/>
  <c r="H28" i="6"/>
  <c r="C29" i="6"/>
  <c r="D29" i="6"/>
  <c r="E29" i="6"/>
  <c r="F29" i="6"/>
  <c r="G29" i="6"/>
  <c r="H29" i="6"/>
  <c r="C30" i="6"/>
  <c r="D30" i="6"/>
  <c r="E30" i="6"/>
  <c r="F30" i="6"/>
  <c r="G30" i="6"/>
  <c r="H30" i="6"/>
  <c r="C31" i="6"/>
  <c r="D31" i="6"/>
  <c r="E31" i="6"/>
  <c r="F31" i="6"/>
  <c r="G31" i="6"/>
  <c r="H31" i="6"/>
  <c r="C32" i="6"/>
  <c r="D32" i="6"/>
  <c r="E32" i="6"/>
  <c r="F32" i="6"/>
  <c r="G32" i="6"/>
  <c r="H32" i="6"/>
  <c r="E33" i="6"/>
  <c r="G33" i="6"/>
  <c r="H33" i="6"/>
  <c r="E34" i="6"/>
  <c r="F34" i="6"/>
  <c r="G34" i="6"/>
  <c r="H34" i="6"/>
  <c r="C35" i="6"/>
  <c r="D35" i="6"/>
  <c r="E35" i="6"/>
  <c r="F35" i="6"/>
  <c r="G35" i="6"/>
  <c r="H35" i="6"/>
  <c r="C36" i="6"/>
  <c r="D36" i="6"/>
  <c r="E36" i="6"/>
  <c r="F36" i="6"/>
  <c r="G36" i="6"/>
  <c r="H36" i="6"/>
  <c r="C37" i="6"/>
  <c r="D37" i="6"/>
  <c r="E37" i="6"/>
  <c r="F37" i="6"/>
  <c r="G37" i="6"/>
  <c r="H37" i="6"/>
  <c r="C38" i="6"/>
  <c r="D38" i="6"/>
  <c r="E38" i="6"/>
  <c r="F38" i="6"/>
  <c r="G38" i="6"/>
  <c r="H38" i="6"/>
  <c r="C39" i="6"/>
  <c r="D39" i="6"/>
  <c r="E39" i="6"/>
  <c r="F39" i="6"/>
  <c r="G39" i="6"/>
  <c r="H39" i="6"/>
  <c r="C40" i="6"/>
  <c r="D40" i="6"/>
  <c r="E40" i="6"/>
  <c r="F40" i="6"/>
  <c r="G40" i="6"/>
  <c r="H40" i="6"/>
  <c r="E41" i="6"/>
  <c r="F41" i="6"/>
  <c r="N6" i="6" s="1"/>
  <c r="G41" i="6"/>
  <c r="O6" i="6" s="1"/>
  <c r="E42" i="6"/>
  <c r="F42" i="6"/>
  <c r="G42" i="6"/>
  <c r="H42" i="6"/>
  <c r="C43" i="6"/>
  <c r="D43" i="6"/>
  <c r="E43" i="6"/>
  <c r="F43" i="6"/>
  <c r="G43" i="6"/>
  <c r="H43" i="6"/>
  <c r="C44" i="6"/>
  <c r="D44" i="6"/>
  <c r="E44" i="6"/>
  <c r="F44" i="6"/>
  <c r="G44" i="6"/>
  <c r="H44" i="6"/>
  <c r="C45" i="6"/>
  <c r="D45" i="6"/>
  <c r="E45" i="6"/>
  <c r="F45" i="6"/>
  <c r="G45" i="6"/>
  <c r="H45" i="6"/>
  <c r="C46" i="6"/>
  <c r="D46" i="6"/>
  <c r="E46" i="6"/>
  <c r="F46" i="6"/>
  <c r="G46" i="6"/>
  <c r="H46" i="6"/>
  <c r="C47" i="6"/>
  <c r="D47" i="6"/>
  <c r="E47" i="6"/>
  <c r="F47" i="6"/>
  <c r="G47" i="6"/>
  <c r="H47" i="6"/>
  <c r="C48" i="6"/>
  <c r="D48" i="6"/>
  <c r="E48" i="6"/>
  <c r="F48" i="6"/>
  <c r="G48" i="6"/>
  <c r="H48" i="6"/>
  <c r="E49" i="6"/>
  <c r="G49" i="6"/>
  <c r="O7" i="6" s="1"/>
  <c r="E50" i="6"/>
  <c r="F50" i="6"/>
  <c r="G50" i="6"/>
  <c r="H50" i="6"/>
  <c r="C51" i="6"/>
  <c r="D51" i="6"/>
  <c r="E51" i="6"/>
  <c r="F51" i="6"/>
  <c r="G51" i="6"/>
  <c r="H51" i="6"/>
  <c r="C52" i="6"/>
  <c r="D52" i="6"/>
  <c r="E52" i="6"/>
  <c r="F52" i="6"/>
  <c r="G52" i="6"/>
  <c r="H52" i="6"/>
  <c r="C53" i="6"/>
  <c r="D53" i="6"/>
  <c r="E53" i="6"/>
  <c r="F53" i="6"/>
  <c r="G53" i="6"/>
  <c r="H53" i="6"/>
  <c r="C54" i="6"/>
  <c r="D54" i="6"/>
  <c r="E54" i="6"/>
  <c r="F54" i="6"/>
  <c r="G54" i="6"/>
  <c r="H54" i="6"/>
  <c r="C55" i="6"/>
  <c r="D55" i="6"/>
  <c r="E55" i="6"/>
  <c r="F55" i="6"/>
  <c r="G55" i="6"/>
  <c r="H55" i="6"/>
  <c r="C56" i="6"/>
  <c r="D56" i="6"/>
  <c r="E56" i="6"/>
  <c r="F56" i="6"/>
  <c r="G56" i="6"/>
  <c r="H56" i="6"/>
  <c r="E57" i="6"/>
  <c r="F57" i="6"/>
  <c r="N8" i="6" s="1"/>
  <c r="G57" i="6"/>
  <c r="O8" i="6" s="1"/>
  <c r="E58" i="6"/>
  <c r="F58" i="6"/>
  <c r="G58" i="6"/>
  <c r="H58" i="6"/>
  <c r="C59" i="6"/>
  <c r="D59" i="6"/>
  <c r="E59" i="6"/>
  <c r="F59" i="6"/>
  <c r="G59" i="6"/>
  <c r="H59" i="6"/>
  <c r="C60" i="6"/>
  <c r="D60" i="6"/>
  <c r="E60" i="6"/>
  <c r="F60" i="6"/>
  <c r="G60" i="6"/>
  <c r="H60" i="6"/>
  <c r="C61" i="6"/>
  <c r="D61" i="6"/>
  <c r="E61" i="6"/>
  <c r="F61" i="6"/>
  <c r="G61" i="6"/>
  <c r="H61" i="6"/>
  <c r="C62" i="6"/>
  <c r="D62" i="6"/>
  <c r="E62" i="6"/>
  <c r="F62" i="6"/>
  <c r="G62" i="6"/>
  <c r="H62" i="6"/>
  <c r="C63" i="6"/>
  <c r="D63" i="6"/>
  <c r="E63" i="6"/>
  <c r="F63" i="6"/>
  <c r="G63" i="6"/>
  <c r="H63" i="6"/>
  <c r="C64" i="6"/>
  <c r="D64" i="6"/>
  <c r="E64" i="6"/>
  <c r="F64" i="6"/>
  <c r="G64" i="6"/>
  <c r="H64" i="6"/>
  <c r="E65" i="6"/>
  <c r="E66" i="6"/>
  <c r="F66" i="6"/>
  <c r="G66" i="6"/>
  <c r="H66" i="6"/>
  <c r="C67" i="6"/>
  <c r="D67" i="6"/>
  <c r="E67" i="6"/>
  <c r="F67" i="6"/>
  <c r="G67" i="6"/>
  <c r="H67" i="6"/>
  <c r="C68" i="6"/>
  <c r="D68" i="6"/>
  <c r="E68" i="6"/>
  <c r="F68" i="6"/>
  <c r="G68" i="6"/>
  <c r="H68" i="6"/>
  <c r="C69" i="6"/>
  <c r="D69" i="6"/>
  <c r="E69" i="6"/>
  <c r="F69" i="6"/>
  <c r="G69" i="6"/>
  <c r="H69" i="6"/>
  <c r="C70" i="6"/>
  <c r="D70" i="6"/>
  <c r="E70" i="6"/>
  <c r="F70" i="6"/>
  <c r="G70" i="6"/>
  <c r="H70" i="6"/>
  <c r="C71" i="6"/>
  <c r="D71" i="6"/>
  <c r="E71" i="6"/>
  <c r="F71" i="6"/>
  <c r="G71" i="6"/>
  <c r="H71" i="6"/>
  <c r="C72" i="6"/>
  <c r="D72" i="6"/>
  <c r="E72" i="6"/>
  <c r="F72" i="6"/>
  <c r="G72" i="6"/>
  <c r="H72" i="6"/>
  <c r="E73" i="6"/>
  <c r="F73" i="6"/>
  <c r="N10" i="6" s="1"/>
  <c r="D2" i="6"/>
  <c r="E2" i="6"/>
  <c r="F2" i="6"/>
  <c r="G2" i="6"/>
  <c r="H2" i="6"/>
  <c r="O3" i="1"/>
  <c r="M4" i="1"/>
  <c r="N4" i="1"/>
  <c r="M5" i="1"/>
  <c r="O5" i="1"/>
  <c r="M6" i="1"/>
  <c r="N6" i="1"/>
  <c r="O7" i="1"/>
  <c r="M8" i="1"/>
  <c r="N8" i="1"/>
  <c r="M9" i="1"/>
  <c r="M10" i="1"/>
  <c r="N10" i="1"/>
  <c r="L5" i="7" l="1"/>
  <c r="L6" i="9"/>
  <c r="N6" i="9"/>
  <c r="N10" i="9"/>
  <c r="N5" i="9"/>
  <c r="N9" i="9"/>
  <c r="N4" i="9"/>
  <c r="M6" i="8"/>
  <c r="M10" i="8"/>
  <c r="P6" i="8"/>
  <c r="P10" i="8"/>
  <c r="M5" i="8"/>
  <c r="M9" i="8"/>
  <c r="M4" i="8"/>
  <c r="P4" i="8"/>
  <c r="M8" i="8"/>
  <c r="M3" i="8"/>
  <c r="N10" i="7"/>
  <c r="P6" i="7"/>
  <c r="P10" i="7"/>
  <c r="P5" i="7"/>
  <c r="P9" i="7"/>
  <c r="N4" i="7"/>
  <c r="P4" i="7"/>
  <c r="L4" i="3"/>
  <c r="L8" i="3"/>
  <c r="L9" i="3"/>
  <c r="L5" i="3"/>
  <c r="P7" i="3"/>
  <c r="O9" i="3"/>
  <c r="O6" i="3"/>
  <c r="K4" i="3"/>
  <c r="P3" i="3"/>
  <c r="L6" i="3"/>
  <c r="M8" i="3"/>
  <c r="K3" i="3"/>
  <c r="N10" i="3"/>
  <c r="P15" i="1"/>
  <c r="P18" i="1" s="1"/>
  <c r="K7" i="3"/>
  <c r="M4" i="3"/>
  <c r="K9" i="3"/>
  <c r="D25" i="1"/>
  <c r="D26" i="1"/>
  <c r="C25" i="1"/>
  <c r="C26" i="1"/>
  <c r="C17" i="1"/>
  <c r="P10" i="1"/>
  <c r="C10" i="6"/>
  <c r="D17" i="1"/>
  <c r="D10" i="6"/>
  <c r="H41" i="6"/>
  <c r="M3" i="1"/>
  <c r="M22" i="1"/>
  <c r="M23" i="1" s="1"/>
  <c r="H65" i="6"/>
  <c r="H57" i="6"/>
  <c r="M9" i="6"/>
  <c r="E9" i="6"/>
  <c r="P20" i="1"/>
  <c r="M8" i="6"/>
  <c r="M6" i="6"/>
  <c r="M10" i="6"/>
  <c r="M7" i="6"/>
  <c r="M18" i="1"/>
  <c r="M4" i="6"/>
  <c r="N3" i="6"/>
  <c r="P4" i="6"/>
  <c r="M5" i="6"/>
  <c r="P6" i="6"/>
  <c r="N7" i="6"/>
  <c r="P9" i="6"/>
  <c r="N23" i="1"/>
  <c r="P8" i="6"/>
  <c r="N9" i="6"/>
  <c r="M3" i="6"/>
  <c r="O9" i="6"/>
  <c r="C18" i="6"/>
  <c r="D18" i="6"/>
  <c r="P10" i="6"/>
  <c r="G73" i="6"/>
  <c r="O10" i="6" s="1"/>
  <c r="O5" i="6"/>
  <c r="O4" i="6"/>
  <c r="N3" i="1"/>
  <c r="N11" i="1" s="1"/>
  <c r="F33" i="6"/>
  <c r="N5" i="6" s="1"/>
  <c r="O20" i="1"/>
  <c r="P9" i="1"/>
  <c r="P13" i="1" s="1"/>
  <c r="O9" i="1"/>
  <c r="O13" i="1" s="1"/>
  <c r="O16" i="1"/>
  <c r="N9" i="1"/>
  <c r="N13" i="1" s="1"/>
  <c r="N16" i="1"/>
  <c r="P5" i="1"/>
  <c r="P22" i="1"/>
  <c r="P3" i="1"/>
  <c r="N15" i="1"/>
  <c r="N18" i="1" s="1"/>
  <c r="P4" i="1"/>
  <c r="P21" i="1"/>
  <c r="P23" i="1" s="1"/>
  <c r="O22" i="1"/>
  <c r="O15" i="1"/>
  <c r="P7" i="1"/>
  <c r="O21" i="1"/>
  <c r="N7" i="1"/>
  <c r="O17" i="1"/>
  <c r="P7" i="6"/>
  <c r="P5" i="6"/>
  <c r="P3" i="6"/>
  <c r="N17" i="1"/>
  <c r="O11" i="1"/>
  <c r="M11" i="1"/>
  <c r="M13" i="1"/>
  <c r="N12" i="1"/>
  <c r="M12" i="1"/>
  <c r="O12" i="1"/>
  <c r="P11" i="1" l="1"/>
  <c r="C34" i="1"/>
  <c r="C33" i="1"/>
  <c r="C17" i="6"/>
  <c r="K3" i="6" s="1"/>
  <c r="D34" i="1"/>
  <c r="D33" i="1"/>
  <c r="O23" i="1"/>
  <c r="D26" i="6"/>
  <c r="O18" i="1"/>
  <c r="P12" i="1"/>
  <c r="L4" i="1"/>
  <c r="D25" i="6"/>
  <c r="L4" i="6" s="1"/>
  <c r="C26" i="6"/>
  <c r="D17" i="6"/>
  <c r="L3" i="6" s="1"/>
  <c r="L3" i="1"/>
  <c r="K4" i="1"/>
  <c r="C25" i="6"/>
  <c r="K4" i="6" s="1"/>
  <c r="D41" i="1" l="1"/>
  <c r="D42" i="1"/>
  <c r="C42" i="1"/>
  <c r="C41" i="1"/>
  <c r="K5" i="1"/>
  <c r="C33" i="6"/>
  <c r="K5" i="6" s="1"/>
  <c r="L5" i="1"/>
  <c r="D33" i="6"/>
  <c r="L5" i="6" s="1"/>
  <c r="D34" i="6"/>
  <c r="C34" i="6"/>
  <c r="C50" i="1" l="1"/>
  <c r="C49" i="1"/>
  <c r="D50" i="1"/>
  <c r="D49" i="1"/>
  <c r="K6" i="1"/>
  <c r="K12" i="1" s="1"/>
  <c r="C41" i="6"/>
  <c r="K6" i="6" s="1"/>
  <c r="C42" i="6"/>
  <c r="L6" i="1"/>
  <c r="D41" i="6"/>
  <c r="L6" i="6" s="1"/>
  <c r="D42" i="6"/>
  <c r="D57" i="1" l="1"/>
  <c r="D58" i="1"/>
  <c r="C57" i="1"/>
  <c r="C58" i="1"/>
  <c r="D49" i="6"/>
  <c r="L7" i="6" s="1"/>
  <c r="L7" i="1"/>
  <c r="D50" i="6"/>
  <c r="K7" i="1"/>
  <c r="C49" i="6"/>
  <c r="K7" i="6" s="1"/>
  <c r="L12" i="1"/>
  <c r="R12" i="1" s="1"/>
  <c r="L11" i="1"/>
  <c r="C50" i="6"/>
  <c r="K11" i="1"/>
  <c r="D66" i="1" l="1"/>
  <c r="D73" i="1" s="1"/>
  <c r="D65" i="1"/>
  <c r="C66" i="1"/>
  <c r="C73" i="1" s="1"/>
  <c r="C65" i="1"/>
  <c r="K8" i="1"/>
  <c r="C57" i="6"/>
  <c r="K8" i="6" s="1"/>
  <c r="C58" i="6"/>
  <c r="D58" i="6"/>
  <c r="L8" i="1"/>
  <c r="D57" i="6"/>
  <c r="L8" i="6" s="1"/>
  <c r="L15" i="1" l="1"/>
  <c r="L16" i="1"/>
  <c r="L9" i="1"/>
  <c r="D65" i="6"/>
  <c r="L9" i="6" s="1"/>
  <c r="L17" i="1"/>
  <c r="C66" i="6"/>
  <c r="D66" i="6"/>
  <c r="K17" i="1"/>
  <c r="K16" i="1"/>
  <c r="K9" i="1"/>
  <c r="K15" i="1"/>
  <c r="K18" i="1" s="1"/>
  <c r="C65" i="6"/>
  <c r="K9" i="6" s="1"/>
  <c r="K10" i="1" l="1"/>
  <c r="K13" i="1" s="1"/>
  <c r="K21" i="1"/>
  <c r="C73" i="6"/>
  <c r="K10" i="6" s="1"/>
  <c r="K22" i="1"/>
  <c r="K20" i="1"/>
  <c r="K23" i="1" s="1"/>
  <c r="L21" i="1"/>
  <c r="L22" i="1"/>
  <c r="L20" i="1"/>
  <c r="D73" i="6"/>
  <c r="L10" i="6" s="1"/>
  <c r="L10" i="1"/>
  <c r="L13" i="1" s="1"/>
  <c r="L18" i="1"/>
  <c r="Q18" i="1" s="1"/>
  <c r="L23" i="1" l="1"/>
  <c r="Q23" i="1" s="1"/>
</calcChain>
</file>

<file path=xl/sharedStrings.xml><?xml version="1.0" encoding="utf-8"?>
<sst xmlns="http://schemas.openxmlformats.org/spreadsheetml/2006/main" count="884" uniqueCount="55">
  <si>
    <t>Sheet</t>
  </si>
  <si>
    <t>Description</t>
  </si>
  <si>
    <t>CC</t>
  </si>
  <si>
    <t>BI</t>
  </si>
  <si>
    <t>N</t>
  </si>
  <si>
    <t>P</t>
  </si>
  <si>
    <t>SOD</t>
  </si>
  <si>
    <t>FWU</t>
  </si>
  <si>
    <t>Baseline</t>
  </si>
  <si>
    <t>fk</t>
  </si>
  <si>
    <t>efuels</t>
  </si>
  <si>
    <t>atj</t>
  </si>
  <si>
    <t>ft</t>
  </si>
  <si>
    <t>hefa</t>
  </si>
  <si>
    <t>lh2</t>
  </si>
  <si>
    <t>total</t>
  </si>
  <si>
    <t>fk_historical</t>
  </si>
  <si>
    <t>REMIND SSP2-RCP2.6</t>
  </si>
  <si>
    <t>REMIND SSP1-RCP1.9</t>
  </si>
  <si>
    <t>REMIND SSP2-Npi</t>
  </si>
  <si>
    <t>IMAGE SSP2-RCP2.6</t>
  </si>
  <si>
    <t>Efuel-grid</t>
  </si>
  <si>
    <t>Efuel-RES</t>
  </si>
  <si>
    <t>Bio-Adv</t>
  </si>
  <si>
    <t>Bio-HEFA</t>
  </si>
  <si>
    <t>Roadmap-70</t>
  </si>
  <si>
    <t>Roadmap-30-Bio</t>
  </si>
  <si>
    <t>Roadmap-30-Efuel</t>
  </si>
  <si>
    <t>Roadmap-0</t>
  </si>
  <si>
    <t>Ratios to baseline</t>
  </si>
  <si>
    <t>AESA (FHN allocation) desagregated by fuel type in 2050 with REMIND SSP1-RCP1.9</t>
  </si>
  <si>
    <t>AESA (FHN allocation) desagregated by fuel type in 2050 with REMIND SSP2-Npi</t>
  </si>
  <si>
    <t>AESA (FHN allocation) desagregated by fuel type in 2050 with IMAGE SSP2-RCP2.6</t>
  </si>
  <si>
    <t>shares</t>
  </si>
  <si>
    <t>FHN</t>
  </si>
  <si>
    <t>GDP</t>
  </si>
  <si>
    <t>REMIND SSP2-RCP2.6 (GDP)</t>
  </si>
  <si>
    <t>average over Roadmaps</t>
  </si>
  <si>
    <t>Roadmap-30-Bio vs Roadmap-30-Efuel</t>
  </si>
  <si>
    <t>avg over PB other than climate</t>
  </si>
  <si>
    <t>Efuel-grid vs Efuel-RES</t>
  </si>
  <si>
    <t>vs REMIND 1-1.9</t>
  </si>
  <si>
    <t>vs REMIND 2-Npi</t>
  </si>
  <si>
    <t>vs IMAGE 2-2.6</t>
  </si>
  <si>
    <t>influence of IAM for Efuel-grid</t>
  </si>
  <si>
    <t>influence of IAM for Efuel-RES</t>
  </si>
  <si>
    <t>avg</t>
  </si>
  <si>
    <r>
      <t>AESA (</t>
    </r>
    <r>
      <rPr>
        <sz val="11"/>
        <rFont val="Aptos"/>
        <family val="2"/>
      </rPr>
      <t>FHN allocation</t>
    </r>
    <r>
      <rPr>
        <sz val="11"/>
        <color theme="1"/>
        <rFont val="Aptos"/>
        <family val="2"/>
      </rPr>
      <t>) desagregated by fuel type in 2050 with REMIND SSP2-RCP2.6</t>
    </r>
  </si>
  <si>
    <r>
      <t>AESA (</t>
    </r>
    <r>
      <rPr>
        <sz val="11"/>
        <rFont val="Aptos"/>
        <family val="2"/>
      </rPr>
      <t>GDP allocation</t>
    </r>
    <r>
      <rPr>
        <sz val="11"/>
        <color theme="1"/>
        <rFont val="Aptos"/>
        <family val="2"/>
      </rPr>
      <t>) desagregated by fuel type in 2050 with REMIND SSP2-RCP2.6</t>
    </r>
  </si>
  <si>
    <t>REMIND SSP1-RCP1.9 (GDP)</t>
  </si>
  <si>
    <t>IMAGE SSP2-RCP2.6 (GDP)</t>
  </si>
  <si>
    <r>
      <t>AESA (</t>
    </r>
    <r>
      <rPr>
        <sz val="11"/>
        <rFont val="Aptos"/>
        <family val="2"/>
      </rPr>
      <t>GDP allocation</t>
    </r>
    <r>
      <rPr>
        <sz val="11"/>
        <color theme="1"/>
        <rFont val="Aptos"/>
        <family val="2"/>
      </rPr>
      <t>) desagregated by fuel type in 2050 with REMIND SSP1-RCP1.9</t>
    </r>
  </si>
  <si>
    <r>
      <t>AESA (</t>
    </r>
    <r>
      <rPr>
        <sz val="11"/>
        <rFont val="Aptos"/>
        <family val="2"/>
      </rPr>
      <t>GDP allocation</t>
    </r>
    <r>
      <rPr>
        <sz val="11"/>
        <color theme="1"/>
        <rFont val="Aptos"/>
        <family val="2"/>
      </rPr>
      <t>) desagregated by fuel type in 2050 with IMAGE SSP2-RCP2.6</t>
    </r>
  </si>
  <si>
    <t>REMIND SSP2-NPi (GDP)</t>
  </si>
  <si>
    <r>
      <t>AESA (</t>
    </r>
    <r>
      <rPr>
        <sz val="11"/>
        <rFont val="Aptos"/>
        <family val="2"/>
      </rPr>
      <t>GDP allocation</t>
    </r>
    <r>
      <rPr>
        <sz val="11"/>
        <color theme="1"/>
        <rFont val="Aptos"/>
        <family val="2"/>
      </rPr>
      <t>) desagregated by fuel type in 2050 with REMIND SSP2-Npi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</si>
</sst>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top"/>
    </xf>
    <xf numFmtId="9" fontId="0" fillId="0" borderId="0" xfId="1" applyFont="1"/>
    <xf numFmtId="0" fontId="0" fillId="0" borderId="7" xfId="0" applyBorder="1"/>
    <xf numFmtId="0" fontId="2" fillId="0" borderId="8" xfId="0" applyFont="1" applyBorder="1" applyAlignment="1">
      <alignment horizontal="center" vertical="top"/>
    </xf>
    <xf numFmtId="164" fontId="0" fillId="0" borderId="7" xfId="0" applyNumberFormat="1" applyBorder="1" applyAlignment="1">
      <alignment horizontal="center"/>
    </xf>
    <xf numFmtId="0" fontId="3" fillId="0" borderId="0" xfId="0" applyFont="1"/>
    <xf numFmtId="0" fontId="4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3" fillId="0" borderId="7" xfId="0" applyFont="1" applyBorder="1"/>
    <xf numFmtId="164" fontId="3" fillId="0" borderId="11" xfId="0" applyNumberFormat="1" applyFont="1" applyBorder="1" applyAlignment="1">
      <alignment horizontal="center"/>
    </xf>
    <xf numFmtId="0" fontId="3" fillId="0" borderId="14" xfId="0" applyFont="1" applyBorder="1"/>
    <xf numFmtId="164" fontId="3" fillId="0" borderId="15" xfId="0" applyNumberFormat="1" applyFont="1" applyBorder="1" applyAlignment="1">
      <alignment horizontal="center"/>
    </xf>
    <xf numFmtId="0" fontId="0" fillId="0" borderId="0" xfId="1" applyNumberFormat="1" applyFont="1"/>
    <xf numFmtId="0" fontId="0" fillId="0" borderId="12" xfId="0" applyBorder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9" fontId="0" fillId="0" borderId="0" xfId="0" applyNumberFormat="1"/>
    <xf numFmtId="9" fontId="0" fillId="0" borderId="7" xfId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7" xfId="1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2" fillId="2" borderId="9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top"/>
    </xf>
    <xf numFmtId="0" fontId="4" fillId="3" borderId="10" xfId="0" applyFont="1" applyFill="1" applyBorder="1" applyAlignment="1">
      <alignment horizontal="center" vertical="top"/>
    </xf>
    <xf numFmtId="0" fontId="4" fillId="3" borderId="11" xfId="0" applyFont="1" applyFill="1" applyBorder="1" applyAlignment="1">
      <alignment horizontal="center" vertical="top"/>
    </xf>
    <xf numFmtId="2" fontId="0" fillId="0" borderId="7" xfId="0" applyNumberFormat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112395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374BAAC8-29D2-4FF2-8286-483269F8D697}"/>
            </a:ext>
          </a:extLst>
        </xdr:cNvPr>
        <xdr:cNvSpPr txBox="1"/>
      </xdr:nvSpPr>
      <xdr:spPr>
        <a:xfrm>
          <a:off x="0" y="0"/>
          <a:ext cx="1495234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3556-9042-4F12-8448-71F7FE4AE767}">
  <dimension ref="A8:B17"/>
  <sheetViews>
    <sheetView workbookViewId="0">
      <selection activeCell="B17" sqref="B17"/>
    </sheetView>
  </sheetViews>
  <sheetFormatPr baseColWidth="10" defaultRowHeight="14.5" x14ac:dyDescent="0.35"/>
  <cols>
    <col min="1" max="1" width="27.7265625" bestFit="1" customWidth="1"/>
    <col min="2" max="2" width="79.54296875" bestFit="1" customWidth="1"/>
  </cols>
  <sheetData>
    <row r="8" spans="1:2" ht="15" thickBot="1" x14ac:dyDescent="0.4"/>
    <row r="9" spans="1:2" x14ac:dyDescent="0.35">
      <c r="A9" s="1" t="s">
        <v>0</v>
      </c>
      <c r="B9" s="2" t="s">
        <v>1</v>
      </c>
    </row>
    <row r="10" spans="1:2" x14ac:dyDescent="0.35">
      <c r="A10" s="25" t="s">
        <v>17</v>
      </c>
      <c r="B10" s="26" t="s">
        <v>47</v>
      </c>
    </row>
    <row r="11" spans="1:2" x14ac:dyDescent="0.35">
      <c r="A11" s="25" t="s">
        <v>18</v>
      </c>
      <c r="B11" s="26" t="s">
        <v>30</v>
      </c>
    </row>
    <row r="12" spans="1:2" x14ac:dyDescent="0.35">
      <c r="A12" s="25" t="s">
        <v>19</v>
      </c>
      <c r="B12" s="26" t="s">
        <v>31</v>
      </c>
    </row>
    <row r="13" spans="1:2" ht="15" thickBot="1" x14ac:dyDescent="0.4">
      <c r="A13" s="27" t="s">
        <v>20</v>
      </c>
      <c r="B13" s="28" t="s">
        <v>32</v>
      </c>
    </row>
    <row r="14" spans="1:2" x14ac:dyDescent="0.35">
      <c r="A14" s="25" t="s">
        <v>36</v>
      </c>
      <c r="B14" s="26" t="s">
        <v>48</v>
      </c>
    </row>
    <row r="15" spans="1:2" x14ac:dyDescent="0.35">
      <c r="A15" s="25" t="s">
        <v>49</v>
      </c>
      <c r="B15" s="26" t="s">
        <v>51</v>
      </c>
    </row>
    <row r="16" spans="1:2" x14ac:dyDescent="0.35">
      <c r="A16" s="25" t="s">
        <v>53</v>
      </c>
      <c r="B16" s="26" t="s">
        <v>54</v>
      </c>
    </row>
    <row r="17" spans="1:2" ht="15" thickBot="1" x14ac:dyDescent="0.4">
      <c r="A17" s="27" t="s">
        <v>50</v>
      </c>
      <c r="B17" s="26" t="s">
        <v>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"/>
  <sheetViews>
    <sheetView tabSelected="1" topLeftCell="E1" workbookViewId="0">
      <selection activeCell="O13" sqref="O13"/>
    </sheetView>
  </sheetViews>
  <sheetFormatPr baseColWidth="10" defaultColWidth="9.1796875" defaultRowHeight="14.5" x14ac:dyDescent="0.35"/>
  <cols>
    <col min="1" max="1" width="15.1796875" bestFit="1" customWidth="1"/>
    <col min="2" max="2" width="10.453125" bestFit="1" customWidth="1"/>
    <col min="10" max="10" width="30.26953125" bestFit="1" customWidth="1"/>
    <col min="11" max="11" width="5.453125" style="22" customWidth="1"/>
    <col min="12" max="12" width="5.453125" style="22" bestFit="1" customWidth="1"/>
    <col min="13" max="15" width="5.7265625" style="22" bestFit="1" customWidth="1"/>
    <col min="16" max="16" width="5.453125" style="22" bestFit="1" customWidth="1"/>
  </cols>
  <sheetData>
    <row r="1" spans="1:18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K1" s="29" t="s">
        <v>29</v>
      </c>
      <c r="L1" s="29"/>
      <c r="M1" s="29"/>
      <c r="N1" s="29"/>
      <c r="O1" s="29"/>
      <c r="P1" s="29"/>
    </row>
    <row r="2" spans="1:18" x14ac:dyDescent="0.35">
      <c r="A2" s="30" t="s">
        <v>8</v>
      </c>
      <c r="B2" s="3" t="s">
        <v>16</v>
      </c>
      <c r="C2">
        <v>3.3294674322837752</v>
      </c>
      <c r="D2">
        <v>125.6907714779469</v>
      </c>
      <c r="E2" s="4">
        <v>0</v>
      </c>
      <c r="F2" s="4">
        <v>0</v>
      </c>
      <c r="G2" s="4">
        <v>0</v>
      </c>
      <c r="H2" s="4"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7</v>
      </c>
      <c r="P2" s="6" t="s">
        <v>6</v>
      </c>
    </row>
    <row r="3" spans="1:18" x14ac:dyDescent="0.35">
      <c r="A3" s="30"/>
      <c r="B3" s="3" t="s">
        <v>9</v>
      </c>
      <c r="C3" s="4">
        <v>5.1104606207388503</v>
      </c>
      <c r="D3" s="4">
        <v>198.12386807211749</v>
      </c>
      <c r="E3" s="4">
        <v>6.0106437987245567</v>
      </c>
      <c r="F3" s="4">
        <v>3.1178215577522499</v>
      </c>
      <c r="G3" s="4">
        <v>1.3691591033132011E-2</v>
      </c>
      <c r="H3" s="4">
        <v>7.6162894568942832E-2</v>
      </c>
      <c r="J3" s="5" t="s">
        <v>25</v>
      </c>
      <c r="K3" s="38">
        <f>C17/C9</f>
        <v>0.92103319538740624</v>
      </c>
      <c r="L3" s="38">
        <f t="shared" ref="K3:P3" si="0">D17/D9</f>
        <v>1.2820593085792942</v>
      </c>
      <c r="M3" s="38">
        <f t="shared" si="0"/>
        <v>5.6913815831320056</v>
      </c>
      <c r="N3" s="38">
        <f t="shared" si="0"/>
        <v>6.6704607343009084</v>
      </c>
      <c r="O3" s="38">
        <f t="shared" si="0"/>
        <v>5.5296665970013361</v>
      </c>
      <c r="P3" s="38">
        <f t="shared" si="0"/>
        <v>1.5383400436559223</v>
      </c>
    </row>
    <row r="4" spans="1:18" x14ac:dyDescent="0.35">
      <c r="A4" s="30"/>
      <c r="B4" s="3" t="s">
        <v>10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J4" s="5" t="s">
        <v>26</v>
      </c>
      <c r="K4" s="38">
        <f>C25/C9</f>
        <v>0.74249458750375041</v>
      </c>
      <c r="L4" s="38">
        <f>D25/D9</f>
        <v>1.7549149447598973</v>
      </c>
      <c r="M4" s="38">
        <f>E25/E9</f>
        <v>13.297707522786734</v>
      </c>
      <c r="N4" s="38">
        <f>F25/F9</f>
        <v>16.803399541350995</v>
      </c>
      <c r="O4" s="38">
        <f>G25/G9</f>
        <v>12.577169393743427</v>
      </c>
      <c r="P4" s="38">
        <f t="shared" ref="P4" si="1">H25/H9</f>
        <v>2.5284198168778587</v>
      </c>
    </row>
    <row r="5" spans="1:18" x14ac:dyDescent="0.35">
      <c r="A5" s="30"/>
      <c r="B5" s="3" t="s">
        <v>11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J5" s="5" t="s">
        <v>28</v>
      </c>
      <c r="K5" s="38">
        <f>C33/C9</f>
        <v>0.61367521658597268</v>
      </c>
      <c r="L5" s="38">
        <f>D33/D9</f>
        <v>1.5490499556701096</v>
      </c>
      <c r="M5" s="38">
        <f>E33/E9</f>
        <v>19.871442015804849</v>
      </c>
      <c r="N5" s="38">
        <f>F33/F9</f>
        <v>16.444805093690338</v>
      </c>
      <c r="O5" s="38">
        <f>G33/G9</f>
        <v>21.126568454091693</v>
      </c>
      <c r="P5" s="38">
        <f t="shared" ref="P5" si="2">H33/H9</f>
        <v>2.2264248802361011</v>
      </c>
    </row>
    <row r="6" spans="1:18" x14ac:dyDescent="0.35">
      <c r="A6" s="30"/>
      <c r="B6" s="3" t="s">
        <v>12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J6" s="5" t="s">
        <v>27</v>
      </c>
      <c r="K6" s="38">
        <f>C41/C9</f>
        <v>0.7737652412984023</v>
      </c>
      <c r="L6" s="38">
        <f>D41/D9</f>
        <v>1.5228033483446022</v>
      </c>
      <c r="M6" s="38">
        <f>E41/E9</f>
        <v>13.913331993043665</v>
      </c>
      <c r="N6" s="38">
        <f>F41/F9</f>
        <v>13.083277409675839</v>
      </c>
      <c r="O6" s="38">
        <f>G41/G9</f>
        <v>14.581523523271755</v>
      </c>
      <c r="P6" s="38">
        <f t="shared" ref="P6" si="3">H41/H9</f>
        <v>2.0417559730124579</v>
      </c>
    </row>
    <row r="7" spans="1:18" x14ac:dyDescent="0.35">
      <c r="A7" s="30"/>
      <c r="B7" s="3" t="s">
        <v>13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J7" s="5" t="s">
        <v>23</v>
      </c>
      <c r="K7" s="38">
        <f>C49/C9</f>
        <v>0.41853820411494386</v>
      </c>
      <c r="L7" s="38">
        <f>D49/D9</f>
        <v>2.1927515736571093</v>
      </c>
      <c r="M7" s="38">
        <f>E49/E9</f>
        <v>16.470489912266672</v>
      </c>
      <c r="N7" s="38">
        <f>F49/F9</f>
        <v>28.027915229854436</v>
      </c>
      <c r="O7" s="38">
        <f>G49/G9</f>
        <v>13.306708772186939</v>
      </c>
      <c r="P7" s="38">
        <f t="shared" ref="P7" si="4">H49/H9</f>
        <v>3.8150036558227725</v>
      </c>
    </row>
    <row r="8" spans="1:18" x14ac:dyDescent="0.35">
      <c r="A8" s="30"/>
      <c r="B8" s="3" t="s">
        <v>14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J8" s="5" t="s">
        <v>24</v>
      </c>
      <c r="K8" s="38">
        <f>C57/C9</f>
        <v>0.60776076983619409</v>
      </c>
      <c r="L8" s="38">
        <f>D57/D9</f>
        <v>1.2777371718957664</v>
      </c>
      <c r="M8" s="38">
        <f>E57/E9</f>
        <v>27.888913700695873</v>
      </c>
      <c r="N8" s="38">
        <f>F57/F9</f>
        <v>38.728581111984077</v>
      </c>
      <c r="O8" s="38">
        <f>G57/G9</f>
        <v>15.570347777992495</v>
      </c>
      <c r="P8" s="38">
        <f t="shared" ref="P8" si="5">H57/H9</f>
        <v>6.3797537737319203</v>
      </c>
    </row>
    <row r="9" spans="1:18" x14ac:dyDescent="0.35">
      <c r="A9" s="30"/>
      <c r="B9" s="3" t="s">
        <v>15</v>
      </c>
      <c r="C9" s="4">
        <f>SUM(C2:C8)</f>
        <v>8.4399280530226264</v>
      </c>
      <c r="D9" s="4">
        <f t="shared" ref="D9:H9" si="6">SUM(D2:D8)</f>
        <v>323.81463955006438</v>
      </c>
      <c r="E9" s="4">
        <f t="shared" si="6"/>
        <v>6.0106437987245567</v>
      </c>
      <c r="F9" s="4">
        <f t="shared" si="6"/>
        <v>3.1178215577522499</v>
      </c>
      <c r="G9" s="4">
        <f t="shared" si="6"/>
        <v>1.3691591033132011E-2</v>
      </c>
      <c r="H9" s="4">
        <f t="shared" si="6"/>
        <v>7.6162894568942832E-2</v>
      </c>
      <c r="J9" s="5" t="s">
        <v>21</v>
      </c>
      <c r="K9" s="38">
        <f>C65/C9</f>
        <v>0.8695177297180865</v>
      </c>
      <c r="L9" s="38">
        <f>D65/D9</f>
        <v>1.2161517873531762</v>
      </c>
      <c r="M9" s="38">
        <f>E65/E9</f>
        <v>22.072826964885401</v>
      </c>
      <c r="N9" s="38">
        <f>F65/F9</f>
        <v>8.1664379807797403</v>
      </c>
      <c r="O9" s="38">
        <f>G65/G9</f>
        <v>27.127517038221733</v>
      </c>
      <c r="P9" s="38">
        <f t="shared" ref="P9" si="7">H65/H9</f>
        <v>1.1330517841649705</v>
      </c>
    </row>
    <row r="10" spans="1:18" x14ac:dyDescent="0.35">
      <c r="A10" s="30" t="s">
        <v>25</v>
      </c>
      <c r="B10" s="3" t="s">
        <v>16</v>
      </c>
      <c r="C10" s="4">
        <f>C2</f>
        <v>3.3294674322837752</v>
      </c>
      <c r="D10" s="4">
        <f>D2</f>
        <v>125.6907714779469</v>
      </c>
      <c r="E10" s="4">
        <v>0</v>
      </c>
      <c r="F10" s="4">
        <v>0</v>
      </c>
      <c r="G10" s="4">
        <v>0</v>
      </c>
      <c r="H10" s="4">
        <v>0</v>
      </c>
      <c r="J10" s="5" t="s">
        <v>22</v>
      </c>
      <c r="K10" s="38">
        <f>C73/C9</f>
        <v>0.70881057761592736</v>
      </c>
      <c r="L10" s="38">
        <f>D73/D9</f>
        <v>1.0646553354852943</v>
      </c>
      <c r="M10" s="38">
        <f>E73/E9</f>
        <v>25.12131927706362</v>
      </c>
      <c r="N10" s="38">
        <f>F73/F9</f>
        <v>11.965254517579826</v>
      </c>
      <c r="O10" s="38">
        <f>G73/G9</f>
        <v>11.730952441602321</v>
      </c>
      <c r="P10" s="38">
        <f t="shared" ref="P10" si="8">H73/H9</f>
        <v>1.1332429059334836</v>
      </c>
    </row>
    <row r="11" spans="1:18" x14ac:dyDescent="0.35">
      <c r="A11" s="30"/>
      <c r="B11" s="3" t="s">
        <v>9</v>
      </c>
      <c r="C11" s="4">
        <v>4.4779664972834166</v>
      </c>
      <c r="D11" s="4">
        <v>172.84393478542631</v>
      </c>
      <c r="E11" s="4">
        <v>4.3889684740526844</v>
      </c>
      <c r="F11" s="4">
        <v>2.276631419682559</v>
      </c>
      <c r="G11" s="4">
        <v>9.9975915087149488E-3</v>
      </c>
      <c r="H11" s="4">
        <v>5.5614099645469109E-2</v>
      </c>
      <c r="J11" s="19" t="s">
        <v>37</v>
      </c>
      <c r="K11" s="7">
        <f>AVERAGE(K3:K6)</f>
        <v>0.76274206019388291</v>
      </c>
      <c r="L11" s="7">
        <f t="shared" ref="L11:P11" si="9">AVERAGE(L3:L6)</f>
        <v>1.5272068893384758</v>
      </c>
      <c r="M11" s="7">
        <f t="shared" si="9"/>
        <v>13.193465778691813</v>
      </c>
      <c r="N11" s="7">
        <f t="shared" si="9"/>
        <v>13.250485694754518</v>
      </c>
      <c r="O11" s="7">
        <f t="shared" si="9"/>
        <v>13.453731992027052</v>
      </c>
      <c r="P11" s="7">
        <f t="shared" si="9"/>
        <v>2.0837351784455849</v>
      </c>
    </row>
    <row r="12" spans="1:18" x14ac:dyDescent="0.35">
      <c r="A12" s="30"/>
      <c r="B12" s="3" t="s">
        <v>10</v>
      </c>
      <c r="C12" s="4">
        <v>0.18303150283869701</v>
      </c>
      <c r="D12" s="4">
        <v>16.852148993421689</v>
      </c>
      <c r="E12" s="4">
        <v>11.29684952856593</v>
      </c>
      <c r="F12" s="4">
        <v>2.1664191320674449</v>
      </c>
      <c r="G12" s="4">
        <v>3.162840850887258E-2</v>
      </c>
      <c r="H12" s="4">
        <v>7.2893338226377152E-3</v>
      </c>
      <c r="J12" s="5" t="s">
        <v>38</v>
      </c>
      <c r="K12" s="21">
        <f>K4/K6-1</f>
        <v>-4.041361917754116E-2</v>
      </c>
      <c r="L12" s="21">
        <f t="shared" ref="L12:P12" si="10">L4/L6-1</f>
        <v>0.15242388103993676</v>
      </c>
      <c r="M12" s="21">
        <f t="shared" si="10"/>
        <v>-4.4247091247785142E-2</v>
      </c>
      <c r="N12" s="21">
        <f t="shared" si="10"/>
        <v>0.28434176049220738</v>
      </c>
      <c r="O12" s="21">
        <f t="shared" si="10"/>
        <v>-0.13745848479614831</v>
      </c>
      <c r="P12" s="21">
        <f t="shared" si="10"/>
        <v>0.23835553822201616</v>
      </c>
      <c r="Q12" t="s">
        <v>39</v>
      </c>
      <c r="R12" s="20">
        <f>AVERAGE(L12:P12)</f>
        <v>9.8683120742045369E-2</v>
      </c>
    </row>
    <row r="13" spans="1:18" x14ac:dyDescent="0.35">
      <c r="A13" s="30"/>
      <c r="B13" s="3" t="s">
        <v>11</v>
      </c>
      <c r="C13" s="4">
        <v>6.580833524853771E-3</v>
      </c>
      <c r="D13" s="4">
        <v>4.6193884104719309</v>
      </c>
      <c r="E13" s="4">
        <v>11.064186153466521</v>
      </c>
      <c r="F13" s="4">
        <v>9.2197212182993589</v>
      </c>
      <c r="G13" s="4">
        <v>2.2031036233687001E-2</v>
      </c>
      <c r="H13" s="4">
        <v>2.4180562976351069E-2</v>
      </c>
      <c r="J13" s="5" t="s">
        <v>40</v>
      </c>
      <c r="K13" s="21">
        <f>K9/K10-1</f>
        <v>0.22672792587646606</v>
      </c>
      <c r="L13" s="21">
        <f t="shared" ref="L13:P13" si="11">L9/L10-1</f>
        <v>0.14229624068790891</v>
      </c>
      <c r="M13" s="21">
        <f t="shared" si="11"/>
        <v>-0.12135080481069982</v>
      </c>
      <c r="N13" s="21">
        <f t="shared" si="11"/>
        <v>-0.31748731556179721</v>
      </c>
      <c r="O13" s="21">
        <f t="shared" si="11"/>
        <v>1.312473533011477</v>
      </c>
      <c r="P13" s="21">
        <f t="shared" si="11"/>
        <v>-1.6865031099022598E-4</v>
      </c>
    </row>
    <row r="14" spans="1:18" x14ac:dyDescent="0.35">
      <c r="A14" s="30"/>
      <c r="B14" s="3" t="s">
        <v>12</v>
      </c>
      <c r="C14" s="4">
        <v>-0.2347363111773674</v>
      </c>
      <c r="D14" s="4">
        <v>94.004924525197112</v>
      </c>
      <c r="E14" s="4">
        <v>1.7018126098172179</v>
      </c>
      <c r="F14" s="4">
        <v>3.233471005101404</v>
      </c>
      <c r="G14" s="4">
        <v>5.5952365300742136E-3</v>
      </c>
      <c r="H14" s="4">
        <v>1.346369179991368E-2</v>
      </c>
      <c r="J14" s="31" t="s">
        <v>44</v>
      </c>
      <c r="K14" s="31"/>
      <c r="L14" s="31"/>
      <c r="M14" s="31"/>
      <c r="N14" s="31"/>
      <c r="O14" s="31"/>
      <c r="P14" s="31"/>
    </row>
    <row r="15" spans="1:18" x14ac:dyDescent="0.35">
      <c r="A15" s="30"/>
      <c r="B15" s="3" t="s">
        <v>13</v>
      </c>
      <c r="C15" s="4">
        <v>1.114394876186431E-2</v>
      </c>
      <c r="D15" s="4">
        <v>1.1384046969449979</v>
      </c>
      <c r="E15" s="4">
        <v>5.7570506529251899</v>
      </c>
      <c r="F15" s="4">
        <v>3.901063502392506</v>
      </c>
      <c r="G15" s="4">
        <v>6.4576608143643629E-3</v>
      </c>
      <c r="H15" s="4">
        <v>1.6616742311777351E-2</v>
      </c>
      <c r="J15" s="5" t="s">
        <v>41</v>
      </c>
      <c r="K15" s="23">
        <f>'REMIND SSP1-RCP1.9'!C65/'REMIND SSP2-RCP2.6'!C65</f>
        <v>0.84692215991229292</v>
      </c>
      <c r="L15" s="23">
        <f>'REMIND SSP1-RCP1.9'!D65/'REMIND SSP2-RCP2.6'!D65</f>
        <v>1.0677152762318058</v>
      </c>
      <c r="M15" s="23">
        <f>'REMIND SSP1-RCP1.9'!E65/'REMIND SSP2-RCP2.6'!E65</f>
        <v>0.94155871071840036</v>
      </c>
      <c r="N15" s="23">
        <f>'REMIND SSP1-RCP1.9'!F65/'REMIND SSP2-RCP2.6'!F65</f>
        <v>1.022339126428627</v>
      </c>
      <c r="O15" s="23">
        <f>'REMIND SSP1-RCP1.9'!G65/'REMIND SSP2-RCP2.6'!G65</f>
        <v>1.7941038109492315</v>
      </c>
      <c r="P15" s="23">
        <f>'REMIND SSP1-RCP1.9'!H65/'REMIND SSP2-RCP2.6'!H65</f>
        <v>1.0157243514719003</v>
      </c>
    </row>
    <row r="16" spans="1:18" x14ac:dyDescent="0.35">
      <c r="A16" s="30"/>
      <c r="B16" s="3" t="s">
        <v>14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J16" s="5" t="s">
        <v>42</v>
      </c>
      <c r="K16" s="23">
        <f>'REMIND SSP2-NPi'!C65/'REMIND SSP2-RCP2.6'!C65</f>
        <v>2.3830026077009321</v>
      </c>
      <c r="L16" s="23">
        <f>'REMIND SSP2-NPi'!D65/'REMIND SSP2-RCP2.6'!D65</f>
        <v>1.9928605759634388</v>
      </c>
      <c r="M16" s="23">
        <f>'REMIND SSP2-NPi'!E65/'REMIND SSP2-RCP2.6'!E65</f>
        <v>0.81833196124538721</v>
      </c>
      <c r="N16" s="23">
        <f>'REMIND SSP2-NPi'!F65/'REMIND SSP2-RCP2.6'!F65</f>
        <v>0.84482800890286902</v>
      </c>
      <c r="O16" s="23">
        <f>'REMIND SSP2-NPi'!G65/'REMIND SSP2-RCP2.6'!G65</f>
        <v>1.4105101884017228</v>
      </c>
      <c r="P16" s="23">
        <f>'REMIND SSP2-NPi'!H65/'REMIND SSP2-RCP2.6'!H65</f>
        <v>1.4218429539009483</v>
      </c>
    </row>
    <row r="17" spans="1:17" x14ac:dyDescent="0.35">
      <c r="A17" s="30"/>
      <c r="B17" s="3" t="s">
        <v>15</v>
      </c>
      <c r="C17" s="4">
        <f>SUM(C10:C16)</f>
        <v>7.7734539035152395</v>
      </c>
      <c r="D17" s="4">
        <f t="shared" ref="D17:H17" si="12">SUM(D10:D16)</f>
        <v>415.14957288940889</v>
      </c>
      <c r="E17" s="4">
        <f t="shared" si="12"/>
        <v>34.208867418827538</v>
      </c>
      <c r="F17" s="4">
        <f t="shared" si="12"/>
        <v>20.797306277543274</v>
      </c>
      <c r="G17" s="4">
        <f t="shared" si="12"/>
        <v>7.5709933595713097E-2</v>
      </c>
      <c r="H17" s="4">
        <f t="shared" si="12"/>
        <v>0.11716443055614892</v>
      </c>
      <c r="J17" s="5" t="s">
        <v>43</v>
      </c>
      <c r="K17" s="23">
        <f>'IMAGE SSP2-RCP2.6'!C65/'REMIND SSP2-RCP2.6'!C65</f>
        <v>1.5381735527843992</v>
      </c>
      <c r="L17" s="23">
        <f>'IMAGE SSP2-RCP2.6'!D65/'REMIND SSP2-RCP2.6'!D65</f>
        <v>1.6244498388582749</v>
      </c>
      <c r="M17" s="23">
        <f>'IMAGE SSP2-RCP2.6'!E65/'REMIND SSP2-RCP2.6'!E65</f>
        <v>0.79865601996191649</v>
      </c>
      <c r="N17" s="23">
        <f>'IMAGE SSP2-RCP2.6'!F65/'REMIND SSP2-RCP2.6'!F65</f>
        <v>0.93963232777305494</v>
      </c>
      <c r="O17" s="23">
        <f>'IMAGE SSP2-RCP2.6'!G65/'REMIND SSP2-RCP2.6'!G65</f>
        <v>7.6845447137898146</v>
      </c>
      <c r="P17" s="23">
        <f>'IMAGE SSP2-RCP2.6'!H65/'REMIND SSP2-RCP2.6'!H65</f>
        <v>2.141910858269211</v>
      </c>
    </row>
    <row r="18" spans="1:17" x14ac:dyDescent="0.35">
      <c r="A18" s="30" t="s">
        <v>26</v>
      </c>
      <c r="B18" s="3" t="s">
        <v>16</v>
      </c>
      <c r="C18" s="4">
        <f>C10</f>
        <v>3.3294674322837752</v>
      </c>
      <c r="D18" s="4">
        <f>D10</f>
        <v>125.6907714779469</v>
      </c>
      <c r="E18" s="4">
        <v>0</v>
      </c>
      <c r="F18" s="4">
        <v>0</v>
      </c>
      <c r="G18" s="4">
        <v>0</v>
      </c>
      <c r="H18" s="4">
        <v>0</v>
      </c>
      <c r="J18" s="16" t="s">
        <v>46</v>
      </c>
      <c r="K18" s="18">
        <f>AVERAGE(K15:K17)</f>
        <v>1.589366106799208</v>
      </c>
      <c r="L18" s="18">
        <f t="shared" ref="L18:P18" si="13">AVERAGE(L15:L17)</f>
        <v>1.5616752303511732</v>
      </c>
      <c r="M18" s="18">
        <f t="shared" si="13"/>
        <v>0.85284889730856805</v>
      </c>
      <c r="N18" s="18">
        <f t="shared" si="13"/>
        <v>0.93559982103485029</v>
      </c>
      <c r="O18" s="18">
        <f t="shared" si="13"/>
        <v>3.6297195710469232</v>
      </c>
      <c r="P18" s="18">
        <f t="shared" si="13"/>
        <v>1.52649272121402</v>
      </c>
      <c r="Q18" s="17">
        <f>AVERAGE(K18:P18)</f>
        <v>1.6826170579591235</v>
      </c>
    </row>
    <row r="19" spans="1:17" x14ac:dyDescent="0.35">
      <c r="A19" s="30"/>
      <c r="B19" s="3" t="s">
        <v>9</v>
      </c>
      <c r="C19" s="4">
        <v>3.1069519588513259</v>
      </c>
      <c r="D19" s="4">
        <v>118.753523504922</v>
      </c>
      <c r="E19" s="4">
        <v>1.691389431437593</v>
      </c>
      <c r="F19" s="4">
        <v>0.87735201227686521</v>
      </c>
      <c r="G19" s="4">
        <v>3.8528006563821379E-3</v>
      </c>
      <c r="H19" s="4">
        <v>2.143216588029075E-2</v>
      </c>
      <c r="J19" s="31" t="s">
        <v>45</v>
      </c>
      <c r="K19" s="31"/>
      <c r="L19" s="31"/>
      <c r="M19" s="31"/>
      <c r="N19" s="31"/>
      <c r="O19" s="31"/>
      <c r="P19" s="31"/>
    </row>
    <row r="20" spans="1:17" x14ac:dyDescent="0.35">
      <c r="A20" s="30"/>
      <c r="B20" s="3" t="s">
        <v>10</v>
      </c>
      <c r="C20" s="4">
        <v>0.63197852218421169</v>
      </c>
      <c r="D20" s="4">
        <v>46.223364894745743</v>
      </c>
      <c r="E20" s="4">
        <v>25.412066168575439</v>
      </c>
      <c r="F20" s="4">
        <v>4.8733220880524888</v>
      </c>
      <c r="G20" s="4">
        <v>7.1147553820364556E-2</v>
      </c>
      <c r="H20" s="4">
        <v>1.6397229418458881E-2</v>
      </c>
      <c r="J20" s="5" t="s">
        <v>41</v>
      </c>
      <c r="K20" s="7">
        <f>'REMIND SSP1-RCP1.9'!C73/'REMIND SSP2-RCP2.6'!C73</f>
        <v>0.95076219131547501</v>
      </c>
      <c r="L20" s="7">
        <f>'REMIND SSP1-RCP1.9'!D73/'REMIND SSP2-RCP2.6'!D73</f>
        <v>0.99652035609114953</v>
      </c>
      <c r="M20" s="7">
        <f>'REMIND SSP1-RCP1.9'!E73/'REMIND SSP2-RCP2.6'!E73</f>
        <v>0.9260350668978542</v>
      </c>
      <c r="N20" s="7">
        <f>'REMIND SSP1-RCP1.9'!F73/'REMIND SSP2-RCP2.6'!F73</f>
        <v>0.9387819075994186</v>
      </c>
      <c r="O20" s="7">
        <f>'REMIND SSP1-RCP1.9'!G73/'REMIND SSP2-RCP2.6'!G73</f>
        <v>1.1563956737575649</v>
      </c>
      <c r="P20" s="7">
        <f>'REMIND SSP1-RCP1.9'!H73/'REMIND SSP2-RCP2.6'!H73</f>
        <v>1.0181344936379697</v>
      </c>
    </row>
    <row r="21" spans="1:17" x14ac:dyDescent="0.35">
      <c r="A21" s="30"/>
      <c r="B21" s="3" t="s">
        <v>11</v>
      </c>
      <c r="C21" s="4">
        <v>2.7361268127452369E-2</v>
      </c>
      <c r="D21" s="4">
        <v>13.49807555131007</v>
      </c>
      <c r="E21" s="4">
        <v>31.553022481293389</v>
      </c>
      <c r="F21" s="4">
        <v>26.29294797079244</v>
      </c>
      <c r="G21" s="4">
        <v>6.2828460396964575E-2</v>
      </c>
      <c r="H21" s="4">
        <v>6.8958515034030762E-2</v>
      </c>
      <c r="J21" s="5" t="s">
        <v>42</v>
      </c>
      <c r="K21" s="7">
        <f>'REMIND SSP2-NPi'!C73/'REMIND SSP2-RCP2.6'!C73</f>
        <v>0.95055347727311645</v>
      </c>
      <c r="L21" s="7">
        <f>'REMIND SSP2-NPi'!D73/'REMIND SSP2-RCP2.6'!D73</f>
        <v>0.96469223776217017</v>
      </c>
      <c r="M21" s="7">
        <f>'REMIND SSP2-NPi'!E73/'REMIND SSP2-RCP2.6'!E73</f>
        <v>0.69532762069426157</v>
      </c>
      <c r="N21" s="7">
        <f>'REMIND SSP2-NPi'!F73/'REMIND SSP2-RCP2.6'!F73</f>
        <v>0.92285894808039048</v>
      </c>
      <c r="O21" s="7">
        <f>'REMIND SSP2-NPi'!G73/'REMIND SSP2-RCP2.6'!G73</f>
        <v>0.99602544746057853</v>
      </c>
      <c r="P21" s="7">
        <f>'REMIND SSP2-NPi'!H73/'REMIND SSP2-RCP2.6'!H73</f>
        <v>1.0057334862072498</v>
      </c>
    </row>
    <row r="22" spans="1:17" x14ac:dyDescent="0.35">
      <c r="A22" s="30"/>
      <c r="B22" s="3" t="s">
        <v>12</v>
      </c>
      <c r="C22" s="4">
        <v>-0.87115375142535156</v>
      </c>
      <c r="D22" s="4">
        <v>260.46926842546208</v>
      </c>
      <c r="E22" s="4">
        <v>4.8532563346005677</v>
      </c>
      <c r="F22" s="4">
        <v>9.2212641672346809</v>
      </c>
      <c r="G22" s="4">
        <v>1.595658474765194E-2</v>
      </c>
      <c r="H22" s="4">
        <v>3.8395970941864657E-2</v>
      </c>
      <c r="J22" s="5" t="s">
        <v>43</v>
      </c>
      <c r="K22" s="7">
        <f>'IMAGE SSP2-RCP2.6'!C73/'REMIND SSP2-RCP2.6'!C73</f>
        <v>0.86276713330336874</v>
      </c>
      <c r="L22" s="7">
        <f>'IMAGE SSP2-RCP2.6'!D73/'REMIND SSP2-RCP2.6'!D73</f>
        <v>0.91228592676918063</v>
      </c>
      <c r="M22" s="7">
        <f>'IMAGE SSP2-RCP2.6'!E73/'REMIND SSP2-RCP2.6'!E73</f>
        <v>0.90477365781642394</v>
      </c>
      <c r="N22" s="7">
        <f>'IMAGE SSP2-RCP2.6'!F73/'REMIND SSP2-RCP2.6'!F73</f>
        <v>0.89794532016992712</v>
      </c>
      <c r="O22" s="7">
        <f>'IMAGE SSP2-RCP2.6'!G73/'REMIND SSP2-RCP2.6'!G73</f>
        <v>1.4755114697305591</v>
      </c>
      <c r="P22" s="7">
        <f>'IMAGE SSP2-RCP2.6'!H73/'REMIND SSP2-RCP2.6'!H73</f>
        <v>0.75637968051784399</v>
      </c>
    </row>
    <row r="23" spans="1:17" x14ac:dyDescent="0.35">
      <c r="A23" s="30"/>
      <c r="B23" s="3" t="s">
        <v>13</v>
      </c>
      <c r="C23" s="4">
        <v>4.1995468268952292E-2</v>
      </c>
      <c r="D23" s="4">
        <v>3.632146424060632</v>
      </c>
      <c r="E23" s="4">
        <v>16.418048843183989</v>
      </c>
      <c r="F23" s="4">
        <v>11.12511509519193</v>
      </c>
      <c r="G23" s="4">
        <v>1.8416060072196681E-2</v>
      </c>
      <c r="H23" s="4">
        <v>4.738789066424906E-2</v>
      </c>
      <c r="J23" s="16" t="s">
        <v>46</v>
      </c>
      <c r="K23" s="18">
        <f>AVERAGE(K20:K22)</f>
        <v>0.92136093396398666</v>
      </c>
      <c r="L23" s="18">
        <f t="shared" ref="L23" si="14">AVERAGE(L20:L22)</f>
        <v>0.95783284020750015</v>
      </c>
      <c r="M23" s="18">
        <f t="shared" ref="M23" si="15">AVERAGE(M20:M22)</f>
        <v>0.84204544846951324</v>
      </c>
      <c r="N23" s="18">
        <f t="shared" ref="N23" si="16">AVERAGE(N20:N22)</f>
        <v>0.91986205861657877</v>
      </c>
      <c r="O23" s="18">
        <f t="shared" ref="O23" si="17">AVERAGE(O20:O22)</f>
        <v>1.2093108636495675</v>
      </c>
      <c r="P23" s="18">
        <f t="shared" ref="P23" si="18">AVERAGE(P20:P22)</f>
        <v>0.92674922012102101</v>
      </c>
      <c r="Q23" s="17">
        <f>AVERAGE(K23:P23)</f>
        <v>0.96286022750469458</v>
      </c>
    </row>
    <row r="24" spans="1:17" x14ac:dyDescent="0.35">
      <c r="A24" s="30"/>
      <c r="B24" s="3" t="s">
        <v>14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17" x14ac:dyDescent="0.35">
      <c r="A25" s="30"/>
      <c r="B25" s="3" t="s">
        <v>15</v>
      </c>
      <c r="C25" s="4">
        <f>SUM(C18:C24)</f>
        <v>6.266600898290366</v>
      </c>
      <c r="D25" s="4">
        <f t="shared" ref="D25:H25" si="19">SUM(D18:D24)</f>
        <v>568.26715027844728</v>
      </c>
      <c r="E25" s="4">
        <f t="shared" si="19"/>
        <v>79.927783259090972</v>
      </c>
      <c r="F25" s="4">
        <f t="shared" si="19"/>
        <v>52.390001333548405</v>
      </c>
      <c r="G25" s="4">
        <f t="shared" si="19"/>
        <v>0.17220145969355988</v>
      </c>
      <c r="H25" s="4">
        <f t="shared" si="19"/>
        <v>0.1925717719388941</v>
      </c>
    </row>
    <row r="26" spans="1:17" x14ac:dyDescent="0.35">
      <c r="A26" s="30" t="s">
        <v>28</v>
      </c>
      <c r="B26" s="3" t="s">
        <v>16</v>
      </c>
      <c r="C26" s="4">
        <f>C18</f>
        <v>3.3294674322837752</v>
      </c>
      <c r="D26" s="4">
        <f>D18</f>
        <v>125.6907714779469</v>
      </c>
      <c r="E26" s="4">
        <v>0</v>
      </c>
      <c r="F26" s="4">
        <v>0</v>
      </c>
      <c r="G26" s="4">
        <v>0</v>
      </c>
      <c r="H26" s="4">
        <v>0</v>
      </c>
    </row>
    <row r="27" spans="1:17" x14ac:dyDescent="0.35">
      <c r="A27" s="30"/>
      <c r="B27" s="3" t="s">
        <v>9</v>
      </c>
      <c r="C27" s="4">
        <v>1.782683815009894</v>
      </c>
      <c r="D27" s="4">
        <v>67.298121566592258</v>
      </c>
      <c r="E27" s="4">
        <v>0</v>
      </c>
      <c r="F27" s="4">
        <v>0</v>
      </c>
      <c r="G27" s="4">
        <v>0</v>
      </c>
      <c r="H27" s="4">
        <v>0</v>
      </c>
    </row>
    <row r="28" spans="1:17" x14ac:dyDescent="0.35">
      <c r="A28" s="30"/>
      <c r="B28" s="3" t="s">
        <v>10</v>
      </c>
      <c r="C28" s="4">
        <v>1.112890582663066</v>
      </c>
      <c r="D28" s="4">
        <v>107.0190737252033</v>
      </c>
      <c r="E28" s="4">
        <v>73.861191392980629</v>
      </c>
      <c r="F28" s="4">
        <v>14.16450646230405</v>
      </c>
      <c r="G28" s="4">
        <v>0.20679322393575081</v>
      </c>
      <c r="H28" s="4">
        <v>4.7659206156525503E-2</v>
      </c>
    </row>
    <row r="29" spans="1:17" x14ac:dyDescent="0.35">
      <c r="A29" s="30"/>
      <c r="B29" s="3" t="s">
        <v>11</v>
      </c>
      <c r="C29" s="4">
        <v>4.4029488243966561E-2</v>
      </c>
      <c r="D29" s="4">
        <v>11.32640306494841</v>
      </c>
      <c r="E29" s="4">
        <v>24.463075393898858</v>
      </c>
      <c r="F29" s="4">
        <v>20.384936781212922</v>
      </c>
      <c r="G29" s="4">
        <v>4.871093932395066E-2</v>
      </c>
      <c r="H29" s="4">
        <v>5.346357399925554E-2</v>
      </c>
    </row>
    <row r="30" spans="1:17" x14ac:dyDescent="0.35">
      <c r="A30" s="30"/>
      <c r="B30" s="3" t="s">
        <v>12</v>
      </c>
      <c r="C30" s="4">
        <v>-1.162276868953261</v>
      </c>
      <c r="D30" s="4">
        <v>183.56209475066771</v>
      </c>
      <c r="E30" s="4">
        <v>3.7627322608995351</v>
      </c>
      <c r="F30" s="4">
        <v>7.1492510957978208</v>
      </c>
      <c r="G30" s="4">
        <v>1.2371148784315941E-2</v>
      </c>
      <c r="H30" s="4">
        <v>2.9768417036106491E-2</v>
      </c>
    </row>
    <row r="31" spans="1:17" x14ac:dyDescent="0.35">
      <c r="A31" s="30"/>
      <c r="B31" s="3" t="s">
        <v>13</v>
      </c>
      <c r="C31" s="4">
        <v>5.7662257309338598E-2</v>
      </c>
      <c r="D31" s="4">
        <v>3.763674379021746</v>
      </c>
      <c r="E31" s="4">
        <v>12.728922147145781</v>
      </c>
      <c r="F31" s="4">
        <v>8.6253077498624009</v>
      </c>
      <c r="G31" s="4">
        <v>1.427798133354136E-2</v>
      </c>
      <c r="H31" s="4">
        <v>3.6739857259780392E-2</v>
      </c>
    </row>
    <row r="32" spans="1:17" x14ac:dyDescent="0.35">
      <c r="A32" s="30"/>
      <c r="B32" s="3" t="s">
        <v>14</v>
      </c>
      <c r="C32" s="4">
        <v>1.4917969351907361E-2</v>
      </c>
      <c r="D32" s="4">
        <v>2.9449140759794381</v>
      </c>
      <c r="E32" s="4">
        <v>4.6242385290872061</v>
      </c>
      <c r="F32" s="4">
        <v>0.94796574496455099</v>
      </c>
      <c r="G32" s="4">
        <v>7.1030418293326096E-3</v>
      </c>
      <c r="H32" s="4">
        <v>1.939908967425411E-3</v>
      </c>
    </row>
    <row r="33" spans="1:8" x14ac:dyDescent="0.35">
      <c r="A33" s="30"/>
      <c r="B33" s="3" t="s">
        <v>15</v>
      </c>
      <c r="C33" s="4">
        <f>SUM(C26:C32)</f>
        <v>5.1793746759086874</v>
      </c>
      <c r="D33" s="4">
        <f t="shared" ref="D33:H33" si="20">SUM(D26:D32)</f>
        <v>501.60505304035973</v>
      </c>
      <c r="E33" s="4">
        <f t="shared" si="20"/>
        <v>119.44015972401202</v>
      </c>
      <c r="F33" s="4">
        <f t="shared" si="20"/>
        <v>51.271967834141748</v>
      </c>
      <c r="G33" s="4">
        <f t="shared" si="20"/>
        <v>0.28925633520689142</v>
      </c>
      <c r="H33" s="4">
        <f t="shared" si="20"/>
        <v>0.16957096341909333</v>
      </c>
    </row>
    <row r="34" spans="1:8" x14ac:dyDescent="0.35">
      <c r="A34" s="30" t="s">
        <v>27</v>
      </c>
      <c r="B34" s="3" t="s">
        <v>16</v>
      </c>
      <c r="C34" s="4">
        <f>C26</f>
        <v>3.3294674322837752</v>
      </c>
      <c r="D34" s="4">
        <f>D26</f>
        <v>125.6907714779469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35">
      <c r="A35" s="30"/>
      <c r="B35" s="3" t="s">
        <v>9</v>
      </c>
      <c r="C35" s="4">
        <v>3.463190634539159</v>
      </c>
      <c r="D35" s="4">
        <v>132.29859731982651</v>
      </c>
      <c r="E35" s="4">
        <v>1.803193139617367</v>
      </c>
      <c r="F35" s="4">
        <v>0.93534646732567495</v>
      </c>
      <c r="G35" s="4">
        <v>4.1074773099396018E-3</v>
      </c>
      <c r="H35" s="4">
        <v>2.284886837068285E-2</v>
      </c>
    </row>
    <row r="36" spans="1:8" x14ac:dyDescent="0.35">
      <c r="A36" s="30"/>
      <c r="B36" s="3" t="s">
        <v>10</v>
      </c>
      <c r="C36" s="4">
        <v>0.33687209726760559</v>
      </c>
      <c r="D36" s="4">
        <v>53.961275135131537</v>
      </c>
      <c r="E36" s="4">
        <v>46.86208331208767</v>
      </c>
      <c r="F36" s="4">
        <v>8.9868342141875956</v>
      </c>
      <c r="G36" s="4">
        <v>0.13120234192936819</v>
      </c>
      <c r="H36" s="4">
        <v>3.0237932090915489E-2</v>
      </c>
    </row>
    <row r="37" spans="1:8" x14ac:dyDescent="0.35">
      <c r="A37" s="30"/>
      <c r="B37" s="3" t="s">
        <v>11</v>
      </c>
      <c r="C37" s="4">
        <v>2.3349056384912931E-2</v>
      </c>
      <c r="D37" s="4">
        <v>9.1317585188654125</v>
      </c>
      <c r="E37" s="4">
        <v>20.88398015271158</v>
      </c>
      <c r="F37" s="4">
        <v>17.402497776682068</v>
      </c>
      <c r="G37" s="4">
        <v>4.1584235574691257E-2</v>
      </c>
      <c r="H37" s="4">
        <v>4.5641531177717118E-2</v>
      </c>
    </row>
    <row r="38" spans="1:8" x14ac:dyDescent="0.35">
      <c r="A38" s="30"/>
      <c r="B38" s="3" t="s">
        <v>12</v>
      </c>
      <c r="C38" s="4">
        <v>-0.65449980122017304</v>
      </c>
      <c r="D38" s="4">
        <v>169.45546570660451</v>
      </c>
      <c r="E38" s="4">
        <v>3.212221872814554</v>
      </c>
      <c r="F38" s="4">
        <v>6.1032726093232768</v>
      </c>
      <c r="G38" s="4">
        <v>1.056117522093445E-2</v>
      </c>
      <c r="H38" s="4">
        <v>2.541311836510703E-2</v>
      </c>
    </row>
    <row r="39" spans="1:8" x14ac:dyDescent="0.35">
      <c r="A39" s="30"/>
      <c r="B39" s="3" t="s">
        <v>13</v>
      </c>
      <c r="C39" s="4">
        <v>3.2143547232928102E-2</v>
      </c>
      <c r="D39" s="4">
        <v>2.5681491914636472</v>
      </c>
      <c r="E39" s="4">
        <v>10.86660418635271</v>
      </c>
      <c r="F39" s="4">
        <v>7.3633732864217363</v>
      </c>
      <c r="G39" s="4">
        <v>1.2189026685697541E-2</v>
      </c>
      <c r="H39" s="4">
        <v>3.1364594903634628E-2</v>
      </c>
    </row>
    <row r="40" spans="1:8" x14ac:dyDescent="0.35">
      <c r="A40" s="30"/>
      <c r="B40" s="3" t="s">
        <v>14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35">
      <c r="A41" s="30"/>
      <c r="B41" s="3" t="s">
        <v>15</v>
      </c>
      <c r="C41" s="4">
        <f>SUM(C34:C40)</f>
        <v>6.5305229664882072</v>
      </c>
      <c r="D41" s="4">
        <f t="shared" ref="D41:H41" si="21">SUM(D34:D40)</f>
        <v>493.10601734983851</v>
      </c>
      <c r="E41" s="4">
        <f t="shared" si="21"/>
        <v>83.628082663583882</v>
      </c>
      <c r="F41" s="4">
        <f t="shared" si="21"/>
        <v>40.791324353940347</v>
      </c>
      <c r="G41" s="4">
        <f t="shared" si="21"/>
        <v>0.19964425672063105</v>
      </c>
      <c r="H41" s="4">
        <f t="shared" si="21"/>
        <v>0.15550604490805711</v>
      </c>
    </row>
    <row r="42" spans="1:8" x14ac:dyDescent="0.35">
      <c r="A42" s="30" t="s">
        <v>23</v>
      </c>
      <c r="B42" s="3" t="s">
        <v>16</v>
      </c>
      <c r="C42" s="4">
        <f>C34</f>
        <v>3.3294674322837752</v>
      </c>
      <c r="D42" s="4">
        <f>D34</f>
        <v>125.6907714779469</v>
      </c>
      <c r="E42" s="4">
        <v>0</v>
      </c>
      <c r="F42" s="4">
        <v>0</v>
      </c>
      <c r="G42" s="4">
        <v>0</v>
      </c>
      <c r="H42" s="4">
        <v>0</v>
      </c>
    </row>
    <row r="43" spans="1:8" x14ac:dyDescent="0.35">
      <c r="A43" s="30"/>
      <c r="B43" s="3" t="s">
        <v>9</v>
      </c>
      <c r="C43" s="4">
        <v>2.0366918620375269</v>
      </c>
      <c r="D43" s="4">
        <v>76.936770527185189</v>
      </c>
      <c r="E43" s="4">
        <v>5.7331254620413878E-2</v>
      </c>
      <c r="F43" s="4">
        <v>2.973868150803408E-2</v>
      </c>
      <c r="G43" s="4">
        <v>1.3059434529220191E-4</v>
      </c>
      <c r="H43" s="4">
        <v>7.2646366136126079E-4</v>
      </c>
    </row>
    <row r="44" spans="1:8" x14ac:dyDescent="0.35">
      <c r="A44" s="30"/>
      <c r="B44" s="3" t="s">
        <v>10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x14ac:dyDescent="0.35">
      <c r="A45" s="30"/>
      <c r="B45" s="3" t="s">
        <v>11</v>
      </c>
      <c r="C45" s="4">
        <v>6.0784776331746213E-2</v>
      </c>
      <c r="D45" s="4">
        <v>25.64215593346384</v>
      </c>
      <c r="E45" s="4">
        <v>59.099379214273213</v>
      </c>
      <c r="F45" s="4">
        <v>49.247164949356772</v>
      </c>
      <c r="G45" s="4">
        <v>0.11767883753927311</v>
      </c>
      <c r="H45" s="4">
        <v>0.1291605402450906</v>
      </c>
    </row>
    <row r="46" spans="1:8" x14ac:dyDescent="0.35">
      <c r="A46" s="30"/>
      <c r="B46" s="3" t="s">
        <v>12</v>
      </c>
      <c r="C46" s="4">
        <v>-1.9901402203117531</v>
      </c>
      <c r="D46" s="4">
        <v>474.33164416319619</v>
      </c>
      <c r="E46" s="4">
        <v>9.0902364967628735</v>
      </c>
      <c r="F46" s="4">
        <v>17.271593812525719</v>
      </c>
      <c r="G46" s="4">
        <v>2.9886970527950349E-2</v>
      </c>
      <c r="H46" s="4">
        <v>7.1916344887048012E-2</v>
      </c>
    </row>
    <row r="47" spans="1:8" x14ac:dyDescent="0.35">
      <c r="A47" s="30"/>
      <c r="B47" s="3" t="s">
        <v>13</v>
      </c>
      <c r="C47" s="4">
        <v>9.562847983012944E-2</v>
      </c>
      <c r="D47" s="4">
        <v>7.443718344821205</v>
      </c>
      <c r="E47" s="4">
        <v>30.75130108746454</v>
      </c>
      <c r="F47" s="4">
        <v>20.837540879102239</v>
      </c>
      <c r="G47" s="4">
        <v>3.449361209325813E-2</v>
      </c>
      <c r="H47" s="4">
        <v>8.8758372425061377E-2</v>
      </c>
    </row>
    <row r="48" spans="1:8" x14ac:dyDescent="0.35">
      <c r="A48" s="30"/>
      <c r="B48" s="3" t="s">
        <v>14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35">
      <c r="A49" s="30"/>
      <c r="B49" s="3" t="s">
        <v>15</v>
      </c>
      <c r="C49" s="4">
        <f>SUM(C42:C48)</f>
        <v>3.5324323301714249</v>
      </c>
      <c r="D49" s="4">
        <f t="shared" ref="D49:H49" si="22">SUM(D42:D48)</f>
        <v>710.04506044661332</v>
      </c>
      <c r="E49" s="4">
        <f t="shared" si="22"/>
        <v>98.998248053121046</v>
      </c>
      <c r="F49" s="4">
        <f t="shared" si="22"/>
        <v>87.386038322492766</v>
      </c>
      <c r="G49" s="4">
        <f t="shared" si="22"/>
        <v>0.18219001450577377</v>
      </c>
      <c r="H49" s="4">
        <f t="shared" si="22"/>
        <v>0.29056172121856128</v>
      </c>
    </row>
    <row r="50" spans="1:8" x14ac:dyDescent="0.35">
      <c r="A50" s="30" t="s">
        <v>24</v>
      </c>
      <c r="B50" s="3" t="s">
        <v>16</v>
      </c>
      <c r="C50" s="4">
        <f>C42</f>
        <v>3.3294674322837752</v>
      </c>
      <c r="D50" s="4">
        <f>D42</f>
        <v>125.6907714779469</v>
      </c>
      <c r="E50" s="4">
        <v>0</v>
      </c>
      <c r="F50" s="4">
        <v>0</v>
      </c>
      <c r="G50" s="4">
        <v>0</v>
      </c>
      <c r="H50" s="4">
        <v>0</v>
      </c>
    </row>
    <row r="51" spans="1:8" x14ac:dyDescent="0.35">
      <c r="A51" s="30"/>
      <c r="B51" s="3" t="s">
        <v>9</v>
      </c>
      <c r="C51" s="4">
        <v>2.0366918620375269</v>
      </c>
      <c r="D51" s="4">
        <v>76.936770527185189</v>
      </c>
      <c r="E51" s="4">
        <v>5.7331254620413878E-2</v>
      </c>
      <c r="F51" s="4">
        <v>2.973868150803408E-2</v>
      </c>
      <c r="G51" s="4">
        <v>1.3059434529220191E-4</v>
      </c>
      <c r="H51" s="4">
        <v>7.2646366136126079E-4</v>
      </c>
    </row>
    <row r="52" spans="1:8" x14ac:dyDescent="0.35">
      <c r="A52" s="30"/>
      <c r="B52" s="3" t="s">
        <v>10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x14ac:dyDescent="0.35">
      <c r="A53" s="30"/>
      <c r="B53" s="3" t="s">
        <v>11</v>
      </c>
      <c r="C53" s="4">
        <v>2.2061230146815179E-2</v>
      </c>
      <c r="D53" s="4">
        <v>9.0731169814551382</v>
      </c>
      <c r="E53" s="4">
        <v>20.85860442856702</v>
      </c>
      <c r="F53" s="4">
        <v>17.381352335067099</v>
      </c>
      <c r="G53" s="4">
        <v>4.1533707366802272E-2</v>
      </c>
      <c r="H53" s="4">
        <v>4.5586073027679051E-2</v>
      </c>
    </row>
    <row r="54" spans="1:8" x14ac:dyDescent="0.35">
      <c r="A54" s="30"/>
      <c r="B54" s="3" t="s">
        <v>12</v>
      </c>
      <c r="C54" s="4">
        <v>-0.70010311550311033</v>
      </c>
      <c r="D54" s="4">
        <v>167.49797000819169</v>
      </c>
      <c r="E54" s="4">
        <v>3.208318763563367</v>
      </c>
      <c r="F54" s="4">
        <v>6.0958566397149587</v>
      </c>
      <c r="G54" s="4">
        <v>1.0548342539276589E-2</v>
      </c>
      <c r="H54" s="4">
        <v>2.53822393718993E-2</v>
      </c>
    </row>
    <row r="55" spans="1:8" x14ac:dyDescent="0.35">
      <c r="A55" s="30"/>
      <c r="B55" s="3" t="s">
        <v>13</v>
      </c>
      <c r="C55" s="4">
        <v>0.44133976190211582</v>
      </c>
      <c r="D55" s="4">
        <v>34.55137276236735</v>
      </c>
      <c r="E55" s="4">
        <v>143.50607174150119</v>
      </c>
      <c r="F55" s="4">
        <v>97.241857435810473</v>
      </c>
      <c r="G55" s="4">
        <v>0.16097018976853791</v>
      </c>
      <c r="H55" s="4">
        <v>0.41420573798361981</v>
      </c>
    </row>
    <row r="56" spans="1:8" x14ac:dyDescent="0.35">
      <c r="A56" s="30"/>
      <c r="B56" s="3" t="s">
        <v>14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35">
      <c r="A57" s="30"/>
      <c r="B57" s="3" t="s">
        <v>15</v>
      </c>
      <c r="C57" s="4">
        <f>SUM(C50:C56)</f>
        <v>5.1294571708671226</v>
      </c>
      <c r="D57" s="4">
        <f t="shared" ref="D57:H57" si="23">SUM(D50:D56)</f>
        <v>413.75000175714626</v>
      </c>
      <c r="E57" s="4">
        <f t="shared" si="23"/>
        <v>167.63032618825198</v>
      </c>
      <c r="F57" s="4">
        <f t="shared" si="23"/>
        <v>120.74880509210057</v>
      </c>
      <c r="G57" s="4">
        <f t="shared" si="23"/>
        <v>0.21318283401990898</v>
      </c>
      <c r="H57" s="4">
        <f t="shared" si="23"/>
        <v>0.48590051404455942</v>
      </c>
    </row>
    <row r="58" spans="1:8" x14ac:dyDescent="0.35">
      <c r="A58" s="30" t="s">
        <v>21</v>
      </c>
      <c r="B58" s="3" t="s">
        <v>16</v>
      </c>
      <c r="C58" s="4">
        <f>C50</f>
        <v>3.3294674322837752</v>
      </c>
      <c r="D58" s="4">
        <f>D50</f>
        <v>125.6907714779469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35">
      <c r="A59" s="30"/>
      <c r="B59" s="3" t="s">
        <v>9</v>
      </c>
      <c r="C59" s="4">
        <v>2.0366918620375269</v>
      </c>
      <c r="D59" s="4">
        <v>76.936770527185189</v>
      </c>
      <c r="E59" s="4">
        <v>5.7331254620413878E-2</v>
      </c>
      <c r="F59" s="4">
        <v>2.973868150803408E-2</v>
      </c>
      <c r="G59" s="4">
        <v>1.3059434529220191E-4</v>
      </c>
      <c r="H59" s="4">
        <v>7.2646366136126079E-4</v>
      </c>
    </row>
    <row r="60" spans="1:8" x14ac:dyDescent="0.35">
      <c r="A60" s="30"/>
      <c r="B60" s="3" t="s">
        <v>10</v>
      </c>
      <c r="C60" s="4">
        <v>1.9725077853269219</v>
      </c>
      <c r="D60" s="4">
        <v>191.1802106548032</v>
      </c>
      <c r="E60" s="4">
        <v>132.61456926218821</v>
      </c>
      <c r="F60" s="4">
        <v>25.431757705013791</v>
      </c>
      <c r="G60" s="4">
        <v>0.37128827468636028</v>
      </c>
      <c r="H60" s="4">
        <v>8.5570039917147969E-2</v>
      </c>
    </row>
    <row r="61" spans="1:8" x14ac:dyDescent="0.35">
      <c r="A61" s="30"/>
      <c r="B61" s="3" t="s">
        <v>11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 x14ac:dyDescent="0.35">
      <c r="A62" s="30"/>
      <c r="B62" s="3" t="s">
        <v>12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 x14ac:dyDescent="0.35">
      <c r="A63" s="30"/>
      <c r="B63" s="3" t="s">
        <v>13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 x14ac:dyDescent="0.35">
      <c r="A64" s="30"/>
      <c r="B64" s="3" t="s">
        <v>14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1:8" x14ac:dyDescent="0.35">
      <c r="A65" s="30"/>
      <c r="B65" s="3" t="s">
        <v>15</v>
      </c>
      <c r="C65" s="4">
        <f>SUM(C58:C64)</f>
        <v>7.3386670796482241</v>
      </c>
      <c r="D65" s="4">
        <f t="shared" ref="D65:H65" si="24">SUM(D58:D64)</f>
        <v>393.80775265993532</v>
      </c>
      <c r="E65" s="4">
        <f t="shared" si="24"/>
        <v>132.67190051680862</v>
      </c>
      <c r="F65" s="4">
        <f t="shared" si="24"/>
        <v>25.461496386521826</v>
      </c>
      <c r="G65" s="4">
        <f t="shared" si="24"/>
        <v>0.3714188690316525</v>
      </c>
      <c r="H65" s="4">
        <f t="shared" si="24"/>
        <v>8.6296503578509223E-2</v>
      </c>
    </row>
    <row r="66" spans="1:8" x14ac:dyDescent="0.35">
      <c r="A66" s="30" t="s">
        <v>22</v>
      </c>
      <c r="B66" s="3" t="s">
        <v>16</v>
      </c>
      <c r="C66" s="4">
        <f>C58</f>
        <v>3.3294674322837752</v>
      </c>
      <c r="D66" s="4">
        <f>D58</f>
        <v>125.6907714779469</v>
      </c>
      <c r="E66" s="4">
        <v>0</v>
      </c>
      <c r="F66" s="4">
        <v>0</v>
      </c>
      <c r="G66" s="4">
        <v>0</v>
      </c>
      <c r="H66" s="4">
        <v>0</v>
      </c>
    </row>
    <row r="67" spans="1:8" x14ac:dyDescent="0.35">
      <c r="A67" s="30"/>
      <c r="B67" s="3" t="s">
        <v>9</v>
      </c>
      <c r="C67" s="4">
        <v>2.0366918620375269</v>
      </c>
      <c r="D67" s="4">
        <v>76.936770527185189</v>
      </c>
      <c r="E67" s="4">
        <v>5.7331254620413878E-2</v>
      </c>
      <c r="F67" s="4">
        <v>2.973868150803408E-2</v>
      </c>
      <c r="G67" s="4">
        <v>1.3059434529220191E-4</v>
      </c>
      <c r="H67" s="4">
        <v>7.2646366136126079E-4</v>
      </c>
    </row>
    <row r="68" spans="1:8" x14ac:dyDescent="0.35">
      <c r="A68" s="30"/>
      <c r="B68" s="3" t="s">
        <v>10</v>
      </c>
      <c r="C68" s="4">
        <v>0.61615098397853529</v>
      </c>
      <c r="D68" s="4">
        <v>142.1234417000914</v>
      </c>
      <c r="E68" s="4">
        <v>150.9379706738417</v>
      </c>
      <c r="F68" s="4">
        <v>37.275789797394843</v>
      </c>
      <c r="G68" s="4">
        <v>0.16048480891424821</v>
      </c>
      <c r="H68" s="4">
        <v>8.5584596304253066E-2</v>
      </c>
    </row>
    <row r="69" spans="1:8" x14ac:dyDescent="0.35">
      <c r="A69" s="30"/>
      <c r="B69" s="3" t="s">
        <v>11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x14ac:dyDescent="0.35">
      <c r="A70" s="30"/>
      <c r="B70" s="3" t="s">
        <v>12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 x14ac:dyDescent="0.35">
      <c r="A71" s="30"/>
      <c r="B71" s="3" t="s">
        <v>13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 x14ac:dyDescent="0.35">
      <c r="A72" s="30"/>
      <c r="B72" s="3" t="s">
        <v>14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35">
      <c r="A73" s="30"/>
      <c r="B73" s="3" t="s">
        <v>15</v>
      </c>
      <c r="C73" s="4">
        <f>SUM(C66:C72)</f>
        <v>5.9823102782998374</v>
      </c>
      <c r="D73" s="4">
        <f t="shared" ref="D73:H73" si="25">SUM(D66:D72)</f>
        <v>344.75098370522346</v>
      </c>
      <c r="E73" s="4">
        <f t="shared" si="25"/>
        <v>150.99530192846211</v>
      </c>
      <c r="F73" s="4">
        <f t="shared" si="25"/>
        <v>37.305528478902879</v>
      </c>
      <c r="G73" s="4">
        <f t="shared" si="25"/>
        <v>0.16061540325954041</v>
      </c>
      <c r="H73" s="4">
        <f t="shared" si="25"/>
        <v>8.631105996561432E-2</v>
      </c>
    </row>
  </sheetData>
  <mergeCells count="12">
    <mergeCell ref="K1:P1"/>
    <mergeCell ref="A58:A65"/>
    <mergeCell ref="A66:A73"/>
    <mergeCell ref="A2:A9"/>
    <mergeCell ref="A10:A17"/>
    <mergeCell ref="A18:A25"/>
    <mergeCell ref="A26:A33"/>
    <mergeCell ref="A34:A41"/>
    <mergeCell ref="A42:A49"/>
    <mergeCell ref="A50:A57"/>
    <mergeCell ref="J14:P14"/>
    <mergeCell ref="J19:P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28FD-CBE1-4A37-B4BD-399FFCFB2FDC}">
  <dimension ref="A1:P73"/>
  <sheetViews>
    <sheetView workbookViewId="0">
      <selection activeCell="C66" sqref="C66:D66"/>
    </sheetView>
  </sheetViews>
  <sheetFormatPr baseColWidth="10" defaultColWidth="9.1796875" defaultRowHeight="14.5" x14ac:dyDescent="0.35"/>
  <cols>
    <col min="1" max="1" width="14.453125" bestFit="1" customWidth="1"/>
    <col min="10" max="10" width="15" bestFit="1" customWidth="1"/>
    <col min="11" max="12" width="3.7265625" bestFit="1" customWidth="1"/>
    <col min="13" max="15" width="4.7265625" bestFit="1" customWidth="1"/>
    <col min="16" max="16" width="4.81640625" bestFit="1" customWidth="1"/>
  </cols>
  <sheetData>
    <row r="1" spans="1:16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K1" s="32" t="s">
        <v>29</v>
      </c>
      <c r="L1" s="33"/>
      <c r="M1" s="33"/>
      <c r="N1" s="33"/>
      <c r="O1" s="33"/>
      <c r="P1" s="34"/>
    </row>
    <row r="2" spans="1:16" x14ac:dyDescent="0.35">
      <c r="A2" s="30" t="s">
        <v>8</v>
      </c>
      <c r="B2" s="3" t="s">
        <v>16</v>
      </c>
      <c r="C2">
        <v>3.3294674322837752</v>
      </c>
      <c r="D2">
        <v>125.6907714779469</v>
      </c>
      <c r="E2">
        <v>0</v>
      </c>
      <c r="F2">
        <v>0</v>
      </c>
      <c r="G2">
        <v>0</v>
      </c>
      <c r="H2"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3" t="s">
        <v>9</v>
      </c>
      <c r="C3">
        <v>5.0927027780479728</v>
      </c>
      <c r="D3">
        <v>201.29908816942151</v>
      </c>
      <c r="E3">
        <v>5.186800348622854</v>
      </c>
      <c r="F3">
        <v>3.1075475100472838</v>
      </c>
      <c r="G3">
        <v>2.3149899928220571E-2</v>
      </c>
      <c r="H3">
        <v>7.6671772749906539E-2</v>
      </c>
      <c r="J3" s="5" t="s">
        <v>25</v>
      </c>
      <c r="K3" s="7">
        <f>C17/C9</f>
        <v>0.93858639070913741</v>
      </c>
      <c r="L3" s="7">
        <f t="shared" ref="L3:P3" si="0">D17/D9</f>
        <v>1.6030279933071017</v>
      </c>
      <c r="M3" s="7">
        <f t="shared" si="0"/>
        <v>4.7419331848793878</v>
      </c>
      <c r="N3" s="7">
        <f t="shared" si="0"/>
        <v>4.8630225094327191</v>
      </c>
      <c r="O3" s="7">
        <f t="shared" si="0"/>
        <v>4.9213427428833549</v>
      </c>
      <c r="P3" s="7">
        <f t="shared" si="0"/>
        <v>1.4090479580238831</v>
      </c>
    </row>
    <row r="4" spans="1:16" x14ac:dyDescent="0.35">
      <c r="A4" s="30"/>
      <c r="B4" s="3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 s="5" t="s">
        <v>26</v>
      </c>
      <c r="K4" s="7">
        <f>C25/C9</f>
        <v>0.81935945706990587</v>
      </c>
      <c r="L4" s="7">
        <f t="shared" ref="L4:P4" si="1">D25/D9</f>
        <v>2.6858641748855927</v>
      </c>
      <c r="M4" s="7">
        <f t="shared" si="1"/>
        <v>10.48686701763004</v>
      </c>
      <c r="N4" s="7">
        <f t="shared" si="1"/>
        <v>11.638141535058613</v>
      </c>
      <c r="O4" s="7">
        <f t="shared" si="1"/>
        <v>10.757309068641078</v>
      </c>
      <c r="P4" s="7">
        <f t="shared" si="1"/>
        <v>2.1591803472619318</v>
      </c>
    </row>
    <row r="5" spans="1:16" x14ac:dyDescent="0.35">
      <c r="A5" s="30"/>
      <c r="B5" s="3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 s="5" t="s">
        <v>28</v>
      </c>
      <c r="K5" s="7">
        <f>C33/C9</f>
        <v>0.69798198896640684</v>
      </c>
      <c r="L5" s="7">
        <f t="shared" ref="L5:P5" si="2">D33/D9</f>
        <v>2.3912899028922223</v>
      </c>
      <c r="M5" s="7">
        <f t="shared" si="2"/>
        <v>18.553218093641654</v>
      </c>
      <c r="N5" s="7">
        <f t="shared" si="2"/>
        <v>12.547108526705754</v>
      </c>
      <c r="O5" s="7">
        <f t="shared" si="2"/>
        <v>20.487545976022684</v>
      </c>
      <c r="P5" s="7">
        <f t="shared" si="2"/>
        <v>1.9477610785704567</v>
      </c>
    </row>
    <row r="6" spans="1:16" x14ac:dyDescent="0.35">
      <c r="A6" s="30"/>
      <c r="B6" s="3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 s="5" t="s">
        <v>27</v>
      </c>
      <c r="K6" s="7">
        <f>C41/C9</f>
        <v>0.82893610949589025</v>
      </c>
      <c r="L6" s="7">
        <f t="shared" ref="L6:P6" si="3">D41/D9</f>
        <v>2.1916882544904461</v>
      </c>
      <c r="M6" s="7">
        <f t="shared" si="3"/>
        <v>12.508512932501576</v>
      </c>
      <c r="N6" s="7">
        <f t="shared" si="3"/>
        <v>9.7121324037296333</v>
      </c>
      <c r="O6" s="7">
        <f t="shared" si="3"/>
        <v>13.752443862773902</v>
      </c>
      <c r="P6" s="7">
        <f t="shared" si="3"/>
        <v>1.7996734157223644</v>
      </c>
    </row>
    <row r="7" spans="1:16" x14ac:dyDescent="0.35">
      <c r="A7" s="30"/>
      <c r="B7" s="3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 s="5" t="s">
        <v>23</v>
      </c>
      <c r="K7" s="7">
        <f>C49/C9</f>
        <v>0.64814548559963359</v>
      </c>
      <c r="L7" s="7">
        <f t="shared" ref="L7:P7" si="4">D49/D9</f>
        <v>3.9450514587448335</v>
      </c>
      <c r="M7" s="7">
        <f t="shared" si="4"/>
        <v>10.483932099732371</v>
      </c>
      <c r="N7" s="7">
        <f t="shared" si="4"/>
        <v>18.277909868565811</v>
      </c>
      <c r="O7" s="7">
        <f t="shared" si="4"/>
        <v>9.3032742469743717</v>
      </c>
      <c r="P7" s="7">
        <f t="shared" si="4"/>
        <v>3.1197584242845888</v>
      </c>
    </row>
    <row r="8" spans="1:16" x14ac:dyDescent="0.35">
      <c r="A8" s="30"/>
      <c r="B8" s="3" t="s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 s="5" t="s">
        <v>24</v>
      </c>
      <c r="K8" s="7">
        <f>C57/C9</f>
        <v>0.66668641230477421</v>
      </c>
      <c r="L8" s="7">
        <f t="shared" ref="L8:P8" si="5">D57/D9</f>
        <v>1.9524172401520328</v>
      </c>
      <c r="M8" s="7">
        <f t="shared" si="5"/>
        <v>29.564170431775764</v>
      </c>
      <c r="N8" s="7">
        <f t="shared" si="5"/>
        <v>35.87931371851441</v>
      </c>
      <c r="O8" s="7">
        <f t="shared" si="5"/>
        <v>12.489678840872651</v>
      </c>
      <c r="P8" s="7">
        <f t="shared" si="5"/>
        <v>6.1275820850330476</v>
      </c>
    </row>
    <row r="9" spans="1:16" x14ac:dyDescent="0.35">
      <c r="A9" s="30"/>
      <c r="B9" s="3" t="s">
        <v>15</v>
      </c>
      <c r="C9">
        <v>8.1869412094623613</v>
      </c>
      <c r="D9">
        <v>318.10972635440521</v>
      </c>
      <c r="E9">
        <v>5.186800348622854</v>
      </c>
      <c r="F9">
        <v>3.1075475100472838</v>
      </c>
      <c r="G9">
        <v>2.3149899928220571E-2</v>
      </c>
      <c r="H9">
        <v>7.6671772749906539E-2</v>
      </c>
      <c r="J9" s="5" t="s">
        <v>21</v>
      </c>
      <c r="K9" s="7">
        <f>C65/C9</f>
        <v>0.75916995309424873</v>
      </c>
      <c r="L9" s="7">
        <f t="shared" ref="L9:P9" si="6">D65/D9</f>
        <v>1.3217909374612455</v>
      </c>
      <c r="M9" s="7">
        <f t="shared" si="6"/>
        <v>24.083900517268464</v>
      </c>
      <c r="N9" s="7">
        <f t="shared" si="6"/>
        <v>8.3764717640523862</v>
      </c>
      <c r="O9" s="7">
        <f t="shared" si="6"/>
        <v>28.784746821986008</v>
      </c>
      <c r="P9" s="7">
        <f t="shared" si="6"/>
        <v>1.1432298613661656</v>
      </c>
    </row>
    <row r="10" spans="1:16" x14ac:dyDescent="0.35">
      <c r="A10" s="30" t="s">
        <v>25</v>
      </c>
      <c r="B10" s="3" t="s">
        <v>16</v>
      </c>
      <c r="C10">
        <v>3.3294674322837752</v>
      </c>
      <c r="D10">
        <v>125.6907714779469</v>
      </c>
      <c r="E10">
        <v>0</v>
      </c>
      <c r="F10">
        <v>0</v>
      </c>
      <c r="G10">
        <v>0</v>
      </c>
      <c r="H10">
        <v>0</v>
      </c>
      <c r="J10" s="5" t="s">
        <v>22</v>
      </c>
      <c r="K10" s="7">
        <f>C73/C9</f>
        <v>0.6947349790116496</v>
      </c>
      <c r="L10" s="7">
        <f t="shared" ref="L10:P10" si="7">D73/D9</f>
        <v>1.0799775818924622</v>
      </c>
      <c r="M10" s="7">
        <f t="shared" si="7"/>
        <v>26.958227640227278</v>
      </c>
      <c r="N10" s="7">
        <f t="shared" si="7"/>
        <v>11.269901771798171</v>
      </c>
      <c r="O10" s="7">
        <f t="shared" si="7"/>
        <v>8.0231429960412708</v>
      </c>
      <c r="P10" s="7">
        <f t="shared" si="7"/>
        <v>1.1461358487182534</v>
      </c>
    </row>
    <row r="11" spans="1:16" x14ac:dyDescent="0.35">
      <c r="A11" s="30"/>
      <c r="B11" s="3" t="s">
        <v>9</v>
      </c>
      <c r="C11">
        <v>4.4630217658184854</v>
      </c>
      <c r="D11">
        <v>175.0878083827549</v>
      </c>
      <c r="E11">
        <v>3.787398484026252</v>
      </c>
      <c r="F11">
        <v>2.2691293162493831</v>
      </c>
      <c r="G11">
        <v>1.690404295526458E-2</v>
      </c>
      <c r="H11">
        <v>5.5985682186070987E-2</v>
      </c>
    </row>
    <row r="12" spans="1:16" x14ac:dyDescent="0.35">
      <c r="A12" s="30"/>
      <c r="B12" s="3" t="s">
        <v>10</v>
      </c>
      <c r="C12">
        <v>0.1070851237747749</v>
      </c>
      <c r="D12">
        <v>19.866234801580589</v>
      </c>
      <c r="E12">
        <v>10.637031055070221</v>
      </c>
      <c r="F12">
        <v>2.2148799827376511</v>
      </c>
      <c r="G12">
        <v>5.6745797341449598E-2</v>
      </c>
      <c r="H12">
        <v>7.4045134829843337E-3</v>
      </c>
    </row>
    <row r="13" spans="1:16" x14ac:dyDescent="0.35">
      <c r="A13" s="30"/>
      <c r="B13" s="3" t="s">
        <v>11</v>
      </c>
      <c r="C13">
        <v>0.25463946742542543</v>
      </c>
      <c r="D13">
        <v>97.681164929475045</v>
      </c>
      <c r="E13">
        <v>2.3117944095319798</v>
      </c>
      <c r="F13">
        <v>3.0867593435438829</v>
      </c>
      <c r="G13">
        <v>1.3367940472849159E-2</v>
      </c>
      <c r="H13">
        <v>1.3871150336253499E-2</v>
      </c>
    </row>
    <row r="14" spans="1:16" x14ac:dyDescent="0.35">
      <c r="A14" s="30"/>
      <c r="B14" s="3" t="s">
        <v>12</v>
      </c>
      <c r="C14">
        <v>-0.2419794322853831</v>
      </c>
      <c r="D14">
        <v>98.367777921612998</v>
      </c>
      <c r="E14">
        <v>2.0385404512630272</v>
      </c>
      <c r="F14">
        <v>3.5732678374883231</v>
      </c>
      <c r="G14">
        <v>1.766764162663494E-2</v>
      </c>
      <c r="H14">
        <v>1.406768985906987E-2</v>
      </c>
    </row>
    <row r="15" spans="1:16" x14ac:dyDescent="0.35">
      <c r="A15" s="30"/>
      <c r="B15" s="3" t="s">
        <v>13</v>
      </c>
      <c r="C15">
        <v>7.1462445894875312E-3</v>
      </c>
      <c r="D15">
        <v>2.125172068966191</v>
      </c>
      <c r="E15">
        <v>5.8206962965872053</v>
      </c>
      <c r="F15">
        <v>3.968037010472298</v>
      </c>
      <c r="G15">
        <v>9.2431696140259593E-3</v>
      </c>
      <c r="H15">
        <v>1.6705168966948299E-2</v>
      </c>
    </row>
    <row r="16" spans="1:16" x14ac:dyDescent="0.35">
      <c r="A16" s="30"/>
      <c r="B16" s="3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30"/>
      <c r="B17" s="3" t="s">
        <v>15</v>
      </c>
      <c r="C17">
        <v>7.6841516007371782</v>
      </c>
      <c r="D17">
        <v>509.93879628937339</v>
      </c>
      <c r="E17">
        <v>24.595460696478689</v>
      </c>
      <c r="F17">
        <v>15.112073490491539</v>
      </c>
      <c r="G17">
        <v>0.11392859201022421</v>
      </c>
      <c r="H17">
        <v>0.108034204831327</v>
      </c>
    </row>
    <row r="18" spans="1:8" x14ac:dyDescent="0.35">
      <c r="A18" s="30" t="s">
        <v>26</v>
      </c>
      <c r="B18" s="3" t="s">
        <v>16</v>
      </c>
      <c r="C18">
        <v>3.3294674322837752</v>
      </c>
      <c r="D18">
        <v>125.6907714779469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30"/>
      <c r="B19" s="3" t="s">
        <v>9</v>
      </c>
      <c r="C19">
        <v>3.0977298555504982</v>
      </c>
      <c r="D19">
        <v>119.4875269876498</v>
      </c>
      <c r="E19">
        <v>1.459560670439181</v>
      </c>
      <c r="F19">
        <v>0.8744609050530513</v>
      </c>
      <c r="G19">
        <v>6.5143597572258193E-3</v>
      </c>
      <c r="H19">
        <v>2.1575363714997551E-2</v>
      </c>
    </row>
    <row r="20" spans="1:8" x14ac:dyDescent="0.35">
      <c r="A20" s="30"/>
      <c r="B20" s="3" t="s">
        <v>10</v>
      </c>
      <c r="C20">
        <v>0.43389859158340061</v>
      </c>
      <c r="D20">
        <v>51.975165527390438</v>
      </c>
      <c r="E20">
        <v>23.92781600968625</v>
      </c>
      <c r="F20">
        <v>4.9823339272119567</v>
      </c>
      <c r="G20">
        <v>0.12764868233245799</v>
      </c>
      <c r="H20">
        <v>1.6656324057420041E-2</v>
      </c>
    </row>
    <row r="21" spans="1:8" x14ac:dyDescent="0.35">
      <c r="A21" s="30"/>
      <c r="B21" s="3" t="s">
        <v>11</v>
      </c>
      <c r="C21">
        <v>0.9509451470965965</v>
      </c>
      <c r="D21">
        <v>287.05363106683319</v>
      </c>
      <c r="E21">
        <v>6.5928121566570734</v>
      </c>
      <c r="F21">
        <v>8.8028695116149382</v>
      </c>
      <c r="G21">
        <v>3.8122905780670333E-2</v>
      </c>
      <c r="H21">
        <v>3.9557967692370993E-2</v>
      </c>
    </row>
    <row r="22" spans="1:8" x14ac:dyDescent="0.35">
      <c r="A22" s="30"/>
      <c r="B22" s="3" t="s">
        <v>12</v>
      </c>
      <c r="C22">
        <v>-0.8962772043392695</v>
      </c>
      <c r="D22">
        <v>272.74267424790611</v>
      </c>
      <c r="E22">
        <v>5.8135421616686651</v>
      </c>
      <c r="F22">
        <v>10.190302191601029</v>
      </c>
      <c r="G22">
        <v>5.0384862086036673E-2</v>
      </c>
      <c r="H22">
        <v>4.0118462237190698E-2</v>
      </c>
    </row>
    <row r="23" spans="1:8" x14ac:dyDescent="0.35">
      <c r="A23" s="30"/>
      <c r="B23" s="3" t="s">
        <v>13</v>
      </c>
      <c r="C23">
        <v>2.7512883142705238E-2</v>
      </c>
      <c r="D23">
        <v>6.3298816831928129</v>
      </c>
      <c r="E23">
        <v>16.599554504553829</v>
      </c>
      <c r="F23">
        <v>11.31611121336829</v>
      </c>
      <c r="G23">
        <v>2.6359818479589861E-2</v>
      </c>
      <c r="H23">
        <v>4.7640067209351787E-2</v>
      </c>
    </row>
    <row r="24" spans="1:8" x14ac:dyDescent="0.35">
      <c r="A24" s="30"/>
      <c r="B24" s="3" t="s">
        <v>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30"/>
      <c r="B25" s="3" t="s">
        <v>15</v>
      </c>
      <c r="C25">
        <v>6.7080477044483189</v>
      </c>
      <c r="D25">
        <v>854.39951769795618</v>
      </c>
      <c r="E25">
        <v>54.393285503005004</v>
      </c>
      <c r="F25">
        <v>36.166077748849268</v>
      </c>
      <c r="G25">
        <v>0.24903062843598059</v>
      </c>
      <c r="H25">
        <v>0.16554818491133111</v>
      </c>
    </row>
    <row r="26" spans="1:8" x14ac:dyDescent="0.35">
      <c r="A26" s="30" t="s">
        <v>28</v>
      </c>
      <c r="B26" s="3" t="s">
        <v>16</v>
      </c>
      <c r="C26">
        <v>3.3294674322837752</v>
      </c>
      <c r="D26">
        <v>125.6907714779469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30"/>
      <c r="B27" s="3" t="s">
        <v>9</v>
      </c>
      <c r="C27">
        <v>1.7788972174195501</v>
      </c>
      <c r="D27">
        <v>67.155173668140989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30"/>
      <c r="B28" s="3" t="s">
        <v>10</v>
      </c>
      <c r="C28">
        <v>0.70238089223312872</v>
      </c>
      <c r="D28">
        <v>129.9740448008609</v>
      </c>
      <c r="E28">
        <v>69.547158667993372</v>
      </c>
      <c r="F28">
        <v>14.481353752990509</v>
      </c>
      <c r="G28">
        <v>0.37101602420973068</v>
      </c>
      <c r="H28">
        <v>4.8412275135264041E-2</v>
      </c>
    </row>
    <row r="29" spans="1:8" x14ac:dyDescent="0.35">
      <c r="A29" s="30"/>
      <c r="B29" s="3" t="s">
        <v>11</v>
      </c>
      <c r="C29">
        <v>1.285886427632305</v>
      </c>
      <c r="D29">
        <v>243.26372649343759</v>
      </c>
      <c r="E29">
        <v>5.111410830507034</v>
      </c>
      <c r="F29">
        <v>6.824869493024325</v>
      </c>
      <c r="G29">
        <v>2.9556709468956478E-2</v>
      </c>
      <c r="H29">
        <v>3.066931374519212E-2</v>
      </c>
    </row>
    <row r="30" spans="1:8" x14ac:dyDescent="0.35">
      <c r="A30" s="30"/>
      <c r="B30" s="3" t="s">
        <v>12</v>
      </c>
      <c r="C30">
        <v>-1.1922885940588439</v>
      </c>
      <c r="D30">
        <v>192.68002267453701</v>
      </c>
      <c r="E30">
        <v>4.5072423819564529</v>
      </c>
      <c r="F30">
        <v>7.9005468001533412</v>
      </c>
      <c r="G30">
        <v>3.9063410823880838E-2</v>
      </c>
      <c r="H30">
        <v>3.110386546891121E-2</v>
      </c>
    </row>
    <row r="31" spans="1:8" x14ac:dyDescent="0.35">
      <c r="A31" s="30"/>
      <c r="B31" s="3" t="s">
        <v>13</v>
      </c>
      <c r="C31">
        <v>3.9163898144230713E-2</v>
      </c>
      <c r="D31">
        <v>5.5807799965387543</v>
      </c>
      <c r="E31">
        <v>12.86964358456567</v>
      </c>
      <c r="F31">
        <v>8.7733871435769135</v>
      </c>
      <c r="G31">
        <v>2.0436781522847721E-2</v>
      </c>
      <c r="H31">
        <v>3.6935369871577833E-2</v>
      </c>
    </row>
    <row r="32" spans="1:8" x14ac:dyDescent="0.35">
      <c r="A32" s="30"/>
      <c r="B32" s="3" t="s">
        <v>14</v>
      </c>
      <c r="C32">
        <v>6.0592361468208063E-3</v>
      </c>
      <c r="D32">
        <v>5.2281908245980304</v>
      </c>
      <c r="E32">
        <v>4.1963826111538367</v>
      </c>
      <c r="F32">
        <v>1.01057867071241</v>
      </c>
      <c r="G32">
        <v>1.421171309432742E-2</v>
      </c>
      <c r="H32">
        <v>2.2174705663216788E-3</v>
      </c>
    </row>
    <row r="33" spans="1:8" x14ac:dyDescent="0.35">
      <c r="A33" s="30"/>
      <c r="B33" s="3" t="s">
        <v>15</v>
      </c>
      <c r="C33">
        <v>5.7143375089315791</v>
      </c>
      <c r="D33">
        <v>760.69257664309703</v>
      </c>
      <c r="E33">
        <v>96.231838076176373</v>
      </c>
      <c r="F33">
        <v>38.990735860457512</v>
      </c>
      <c r="G33">
        <v>0.47428463911974322</v>
      </c>
      <c r="H33">
        <v>0.1493382947872669</v>
      </c>
    </row>
    <row r="34" spans="1:8" x14ac:dyDescent="0.35">
      <c r="A34" s="30" t="s">
        <v>27</v>
      </c>
      <c r="B34" s="3" t="s">
        <v>16</v>
      </c>
      <c r="C34">
        <v>3.3294674322837752</v>
      </c>
      <c r="D34">
        <v>125.6907714779469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30"/>
      <c r="B35" s="3" t="s">
        <v>9</v>
      </c>
      <c r="C35">
        <v>3.4526929658854648</v>
      </c>
      <c r="D35">
        <v>133.05597868337989</v>
      </c>
      <c r="E35">
        <v>1.5560401045868559</v>
      </c>
      <c r="F35">
        <v>0.93226425301418525</v>
      </c>
      <c r="G35">
        <v>6.9449699784661714E-3</v>
      </c>
      <c r="H35">
        <v>2.3001531824971961E-2</v>
      </c>
    </row>
    <row r="36" spans="1:8" x14ac:dyDescent="0.35">
      <c r="A36" s="30"/>
      <c r="B36" s="3" t="s">
        <v>10</v>
      </c>
      <c r="C36">
        <v>0.16948681512650249</v>
      </c>
      <c r="D36">
        <v>72.038706438449807</v>
      </c>
      <c r="E36">
        <v>44.124995578235627</v>
      </c>
      <c r="F36">
        <v>9.1878616259221069</v>
      </c>
      <c r="G36">
        <v>0.23539538841351901</v>
      </c>
      <c r="H36">
        <v>3.0715725375261939E-2</v>
      </c>
    </row>
    <row r="37" spans="1:8" x14ac:dyDescent="0.35">
      <c r="A37" s="30"/>
      <c r="B37" s="3" t="s">
        <v>11</v>
      </c>
      <c r="C37">
        <v>0.72106893028347407</v>
      </c>
      <c r="D37">
        <v>193.4525539848417</v>
      </c>
      <c r="E37">
        <v>4.3635806462537703</v>
      </c>
      <c r="F37">
        <v>5.8263499883875616</v>
      </c>
      <c r="G37">
        <v>2.5232384889885748E-2</v>
      </c>
      <c r="H37">
        <v>2.618220846065895E-2</v>
      </c>
    </row>
    <row r="38" spans="1:8" x14ac:dyDescent="0.35">
      <c r="A38" s="30"/>
      <c r="B38" s="3" t="s">
        <v>12</v>
      </c>
      <c r="C38">
        <v>-0.67260576234720348</v>
      </c>
      <c r="D38">
        <v>177.5230797509823</v>
      </c>
      <c r="E38">
        <v>3.847805679890723</v>
      </c>
      <c r="F38">
        <v>6.7446492280002284</v>
      </c>
      <c r="G38">
        <v>3.334819858939763E-2</v>
      </c>
      <c r="H38">
        <v>2.6553182650426579E-2</v>
      </c>
    </row>
    <row r="39" spans="1:8" x14ac:dyDescent="0.35">
      <c r="A39" s="30"/>
      <c r="B39" s="3" t="s">
        <v>13</v>
      </c>
      <c r="C39">
        <v>2.1569814480682709E-2</v>
      </c>
      <c r="D39">
        <v>4.3163938474822956</v>
      </c>
      <c r="E39">
        <v>10.986737230085669</v>
      </c>
      <c r="F39">
        <v>7.4897877731354834</v>
      </c>
      <c r="G39">
        <v>1.7446757320418491E-2</v>
      </c>
      <c r="H39">
        <v>3.1531502842993761E-2</v>
      </c>
    </row>
    <row r="40" spans="1:8" x14ac:dyDescent="0.35">
      <c r="A40" s="30"/>
      <c r="B40" s="3" t="s">
        <v>14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30"/>
      <c r="B41" s="3" t="s">
        <v>15</v>
      </c>
      <c r="C41">
        <v>6.7864511948433082</v>
      </c>
      <c r="D41">
        <v>697.19735089011976</v>
      </c>
      <c r="E41">
        <v>64.879159239052655</v>
      </c>
      <c r="F41">
        <v>30.180912868459561</v>
      </c>
      <c r="G41">
        <v>0.318367699191687</v>
      </c>
      <c r="H41">
        <v>0.1379841511543132</v>
      </c>
    </row>
    <row r="42" spans="1:8" x14ac:dyDescent="0.35">
      <c r="A42" s="30" t="s">
        <v>23</v>
      </c>
      <c r="B42" s="3" t="s">
        <v>16</v>
      </c>
      <c r="C42">
        <v>3.3294674322837752</v>
      </c>
      <c r="D42">
        <v>125.6907714779469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30"/>
      <c r="B43" s="3" t="s">
        <v>9</v>
      </c>
      <c r="C43">
        <v>2.0322681199142321</v>
      </c>
      <c r="D43">
        <v>76.806450187021426</v>
      </c>
      <c r="E43">
        <v>4.9473198114858938E-2</v>
      </c>
      <c r="F43">
        <v>2.964068467696572E-2</v>
      </c>
      <c r="G43">
        <v>2.208104242516493E-4</v>
      </c>
      <c r="H43">
        <v>7.3131748826243145E-4</v>
      </c>
    </row>
    <row r="44" spans="1:8" x14ac:dyDescent="0.35">
      <c r="A44" s="30"/>
      <c r="B44" s="3" t="s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30"/>
      <c r="B45" s="3" t="s">
        <v>11</v>
      </c>
      <c r="C45">
        <v>2.1628536925643211</v>
      </c>
      <c r="D45">
        <v>552.06679710017204</v>
      </c>
      <c r="E45">
        <v>12.34845587188183</v>
      </c>
      <c r="F45">
        <v>16.48793308942523</v>
      </c>
      <c r="G45">
        <v>7.1404888923639165E-2</v>
      </c>
      <c r="H45">
        <v>7.4092785722300519E-2</v>
      </c>
    </row>
    <row r="46" spans="1:8" x14ac:dyDescent="0.35">
      <c r="A46" s="30"/>
      <c r="B46" s="3" t="s">
        <v>12</v>
      </c>
      <c r="C46">
        <v>-2.045631170711105</v>
      </c>
      <c r="D46">
        <v>497.00155197656312</v>
      </c>
      <c r="E46">
        <v>10.888869140644641</v>
      </c>
      <c r="F46">
        <v>19.086619479528942</v>
      </c>
      <c r="G46">
        <v>9.4371753858030996E-2</v>
      </c>
      <c r="H46">
        <v>7.5142602096356897E-2</v>
      </c>
    </row>
    <row r="47" spans="1:8" x14ac:dyDescent="0.35">
      <c r="A47" s="30"/>
      <c r="B47" s="3" t="s">
        <v>13</v>
      </c>
      <c r="C47">
        <v>6.2599912600796614E-2</v>
      </c>
      <c r="D47">
        <v>12.2738025466253</v>
      </c>
      <c r="E47">
        <v>31.091264459188849</v>
      </c>
      <c r="F47">
        <v>21.195280047299232</v>
      </c>
      <c r="G47">
        <v>4.93724146163265E-2</v>
      </c>
      <c r="H47">
        <v>8.9230703634434666E-2</v>
      </c>
    </row>
    <row r="48" spans="1:8" x14ac:dyDescent="0.35">
      <c r="A48" s="30"/>
      <c r="B48" s="3" t="s">
        <v>14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30"/>
      <c r="B49" s="3" t="s">
        <v>15</v>
      </c>
      <c r="C49">
        <v>5.3063289857826339</v>
      </c>
      <c r="D49">
        <v>1254.959239995366</v>
      </c>
      <c r="E49">
        <v>54.378062669830193</v>
      </c>
      <c r="F49">
        <v>56.799473300930359</v>
      </c>
      <c r="G49">
        <v>0.21536986782224829</v>
      </c>
      <c r="H49">
        <v>0.23919740894135449</v>
      </c>
    </row>
    <row r="50" spans="1:8" x14ac:dyDescent="0.35">
      <c r="A50" s="30" t="s">
        <v>24</v>
      </c>
      <c r="B50" s="3" t="s">
        <v>16</v>
      </c>
      <c r="C50">
        <v>3.3294674322837752</v>
      </c>
      <c r="D50">
        <v>125.6907714779469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30"/>
      <c r="B51" s="3" t="s">
        <v>9</v>
      </c>
      <c r="C51">
        <v>2.0322681199142321</v>
      </c>
      <c r="D51">
        <v>76.806450187021426</v>
      </c>
      <c r="E51">
        <v>4.9473198114858938E-2</v>
      </c>
      <c r="F51">
        <v>2.964068467696572E-2</v>
      </c>
      <c r="G51">
        <v>2.208104242516493E-4</v>
      </c>
      <c r="H51">
        <v>7.3131748826243145E-4</v>
      </c>
    </row>
    <row r="52" spans="1:8" x14ac:dyDescent="0.35">
      <c r="A52" s="30"/>
      <c r="B52" s="3" t="s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30"/>
      <c r="B53" s="3" t="s">
        <v>11</v>
      </c>
      <c r="C53">
        <v>0.76442792810212057</v>
      </c>
      <c r="D53">
        <v>194.88741544121041</v>
      </c>
      <c r="E53">
        <v>4.3582785430171178</v>
      </c>
      <c r="F53">
        <v>5.819270502150081</v>
      </c>
      <c r="G53">
        <v>2.520172550246088E-2</v>
      </c>
      <c r="H53">
        <v>2.6150394960811951E-2</v>
      </c>
    </row>
    <row r="54" spans="1:8" x14ac:dyDescent="0.35">
      <c r="A54" s="30"/>
      <c r="B54" s="3" t="s">
        <v>12</v>
      </c>
      <c r="C54">
        <v>-0.71960756347056998</v>
      </c>
      <c r="D54">
        <v>175.50215642299969</v>
      </c>
      <c r="E54">
        <v>3.8431302849334021</v>
      </c>
      <c r="F54">
        <v>6.73645393395139</v>
      </c>
      <c r="G54">
        <v>3.3307677832246238E-2</v>
      </c>
      <c r="H54">
        <v>2.6520918386949491E-2</v>
      </c>
    </row>
    <row r="55" spans="1:8" x14ac:dyDescent="0.35">
      <c r="A55" s="30"/>
      <c r="B55" s="3" t="s">
        <v>13</v>
      </c>
      <c r="C55">
        <v>0.28679554672639912</v>
      </c>
      <c r="D55">
        <v>57.076253758170957</v>
      </c>
      <c r="E55">
        <v>145.09256747621461</v>
      </c>
      <c r="F55">
        <v>98.911306887396407</v>
      </c>
      <c r="G55">
        <v>0.230404601542857</v>
      </c>
      <c r="H55">
        <v>0.41640995029402839</v>
      </c>
    </row>
    <row r="56" spans="1:8" x14ac:dyDescent="0.35">
      <c r="A56" s="30"/>
      <c r="B56" s="3" t="s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30"/>
      <c r="B57" s="3" t="s">
        <v>15</v>
      </c>
      <c r="C57">
        <v>5.4581224626865703</v>
      </c>
      <c r="D57">
        <v>621.08291399438622</v>
      </c>
      <c r="E57">
        <v>153.34344950228001</v>
      </c>
      <c r="F57">
        <v>111.4966720081748</v>
      </c>
      <c r="G57">
        <v>0.28913481530181578</v>
      </c>
      <c r="H57">
        <v>0.46981258113005231</v>
      </c>
    </row>
    <row r="58" spans="1:8" x14ac:dyDescent="0.35">
      <c r="A58" s="30" t="s">
        <v>21</v>
      </c>
      <c r="B58" s="3" t="s">
        <v>16</v>
      </c>
      <c r="C58">
        <v>3.3294674322837752</v>
      </c>
      <c r="D58">
        <v>125.6907714779469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30"/>
      <c r="B59" s="3" t="s">
        <v>9</v>
      </c>
      <c r="C59">
        <v>2.0322681199142321</v>
      </c>
      <c r="D59">
        <v>76.806450187021426</v>
      </c>
      <c r="E59">
        <v>4.9473198114858938E-2</v>
      </c>
      <c r="F59">
        <v>2.964068467696572E-2</v>
      </c>
      <c r="G59">
        <v>2.208104242516493E-4</v>
      </c>
      <c r="H59">
        <v>7.3131748826243145E-4</v>
      </c>
    </row>
    <row r="60" spans="1:8" x14ac:dyDescent="0.35">
      <c r="A60" s="30"/>
      <c r="B60" s="3" t="s">
        <v>10</v>
      </c>
      <c r="C60">
        <v>1.088773222644293</v>
      </c>
      <c r="D60">
        <v>226.85746504152439</v>
      </c>
      <c r="E60">
        <v>124.86891040105129</v>
      </c>
      <c r="F60">
        <v>26.000643288685399</v>
      </c>
      <c r="G60">
        <v>0.66614319796388966</v>
      </c>
      <c r="H60">
        <v>8.6922142643311384E-2</v>
      </c>
    </row>
    <row r="61" spans="1:8" x14ac:dyDescent="0.35">
      <c r="A61" s="30"/>
      <c r="B61" s="3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30"/>
      <c r="B62" s="3" t="s">
        <v>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30"/>
      <c r="B63" s="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30"/>
      <c r="B64" s="3" t="s">
        <v>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30"/>
      <c r="B65" s="3" t="s">
        <v>15</v>
      </c>
      <c r="C65">
        <v>6.2152797739729131</v>
      </c>
      <c r="D65">
        <v>420.47455341352952</v>
      </c>
      <c r="E65">
        <v>124.91838359916621</v>
      </c>
      <c r="F65">
        <v>26.030283973362369</v>
      </c>
      <c r="G65">
        <v>0.66636400838814125</v>
      </c>
      <c r="H65">
        <v>8.765346013157381E-2</v>
      </c>
    </row>
    <row r="66" spans="1:8" x14ac:dyDescent="0.35">
      <c r="A66" s="30" t="s">
        <v>22</v>
      </c>
      <c r="B66" s="3" t="s">
        <v>16</v>
      </c>
      <c r="C66">
        <v>3.3294674322837752</v>
      </c>
      <c r="D66">
        <v>125.6907714779469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30"/>
      <c r="B67" s="3" t="s">
        <v>9</v>
      </c>
      <c r="C67">
        <v>2.0322681199142321</v>
      </c>
      <c r="D67">
        <v>76.806450187021426</v>
      </c>
      <c r="E67">
        <v>4.9473198114858938E-2</v>
      </c>
      <c r="F67">
        <v>2.964068467696572E-2</v>
      </c>
      <c r="G67">
        <v>2.208104242516493E-4</v>
      </c>
      <c r="H67">
        <v>7.3131748826243145E-4</v>
      </c>
    </row>
    <row r="68" spans="1:8" x14ac:dyDescent="0.35">
      <c r="A68" s="30"/>
      <c r="B68" s="3" t="s">
        <v>10</v>
      </c>
      <c r="C68">
        <v>0.56124787799682219</v>
      </c>
      <c r="D68">
        <v>149.93428467269831</v>
      </c>
      <c r="E68">
        <v>139.77747132447021</v>
      </c>
      <c r="F68">
        <v>34.992114504751918</v>
      </c>
      <c r="G68">
        <v>0.18551414704390751</v>
      </c>
      <c r="H68">
        <v>8.7144949845184755E-2</v>
      </c>
    </row>
    <row r="69" spans="1:8" x14ac:dyDescent="0.35">
      <c r="A69" s="30"/>
      <c r="B69" s="3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30"/>
      <c r="B70" s="3" t="s">
        <v>12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30"/>
      <c r="B71" s="3" t="s">
        <v>13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30"/>
      <c r="B72" s="3" t="s">
        <v>14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30"/>
      <c r="B73" s="3" t="s">
        <v>15</v>
      </c>
      <c r="C73">
        <v>5.6877544293254427</v>
      </c>
      <c r="D73">
        <v>343.55137304470338</v>
      </c>
      <c r="E73">
        <v>139.82694452258511</v>
      </c>
      <c r="F73">
        <v>35.02175518942888</v>
      </c>
      <c r="G73">
        <v>0.18573495746815921</v>
      </c>
      <c r="H73">
        <v>8.7876267333447181E-2</v>
      </c>
    </row>
  </sheetData>
  <mergeCells count="10">
    <mergeCell ref="K1:P1"/>
    <mergeCell ref="A58:A65"/>
    <mergeCell ref="A66:A73"/>
    <mergeCell ref="A2:A9"/>
    <mergeCell ref="A10:A17"/>
    <mergeCell ref="A18:A25"/>
    <mergeCell ref="A26:A33"/>
    <mergeCell ref="A34:A41"/>
    <mergeCell ref="A42:A49"/>
    <mergeCell ref="A50:A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839A-12D0-44A1-B990-E1B96BF64A3B}">
  <dimension ref="A1:P73"/>
  <sheetViews>
    <sheetView workbookViewId="0">
      <selection activeCell="C66" sqref="C66:D66"/>
    </sheetView>
  </sheetViews>
  <sheetFormatPr baseColWidth="10" defaultRowHeight="14.5" x14ac:dyDescent="0.35"/>
  <cols>
    <col min="10" max="10" width="15" bestFit="1" customWidth="1"/>
    <col min="11" max="12" width="3.7265625" bestFit="1" customWidth="1"/>
    <col min="13" max="15" width="4.7265625" bestFit="1" customWidth="1"/>
    <col min="16" max="16" width="4.81640625" bestFit="1" customWidth="1"/>
  </cols>
  <sheetData>
    <row r="1" spans="1:16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J1" s="8"/>
      <c r="K1" s="35" t="s">
        <v>29</v>
      </c>
      <c r="L1" s="36"/>
      <c r="M1" s="36"/>
      <c r="N1" s="36"/>
      <c r="O1" s="36"/>
      <c r="P1" s="37"/>
    </row>
    <row r="2" spans="1:16" x14ac:dyDescent="0.35">
      <c r="A2" s="30" t="s">
        <v>8</v>
      </c>
      <c r="B2" s="3" t="s">
        <v>16</v>
      </c>
      <c r="C2">
        <v>3.3294674322837752</v>
      </c>
      <c r="D2">
        <v>125.6907714779469</v>
      </c>
      <c r="E2">
        <v>0</v>
      </c>
      <c r="F2">
        <v>0</v>
      </c>
      <c r="G2">
        <v>0</v>
      </c>
      <c r="H2">
        <v>0</v>
      </c>
      <c r="J2" s="8"/>
      <c r="K2" s="9" t="s">
        <v>2</v>
      </c>
      <c r="L2" s="10" t="s">
        <v>3</v>
      </c>
      <c r="M2" s="10" t="s">
        <v>4</v>
      </c>
      <c r="N2" s="10" t="s">
        <v>5</v>
      </c>
      <c r="O2" s="10" t="s">
        <v>6</v>
      </c>
      <c r="P2" s="10" t="s">
        <v>7</v>
      </c>
    </row>
    <row r="3" spans="1:16" x14ac:dyDescent="0.35">
      <c r="A3" s="30"/>
      <c r="B3" s="3" t="s">
        <v>9</v>
      </c>
      <c r="C3">
        <v>5.129652539675706</v>
      </c>
      <c r="D3">
        <v>198.35218154536329</v>
      </c>
      <c r="E3">
        <v>4.9253321302547439</v>
      </c>
      <c r="F3">
        <v>2.7827474081110188</v>
      </c>
      <c r="G3">
        <v>1.173038989426696E-2</v>
      </c>
      <c r="H3">
        <v>7.6022865556826219E-2</v>
      </c>
      <c r="J3" s="11" t="s">
        <v>25</v>
      </c>
      <c r="K3" s="12">
        <v>0.9</v>
      </c>
      <c r="L3" s="12">
        <v>1.2</v>
      </c>
      <c r="M3" s="12">
        <v>5.7</v>
      </c>
      <c r="N3" s="12">
        <v>6.7</v>
      </c>
      <c r="O3" s="12">
        <v>5.5</v>
      </c>
      <c r="P3" s="12">
        <v>1.5</v>
      </c>
    </row>
    <row r="4" spans="1:16" x14ac:dyDescent="0.35">
      <c r="A4" s="30"/>
      <c r="B4" s="3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 s="13" t="s">
        <v>26</v>
      </c>
      <c r="K4" s="14">
        <v>0.8</v>
      </c>
      <c r="L4" s="14">
        <v>1.7</v>
      </c>
      <c r="M4" s="14">
        <v>13.3</v>
      </c>
      <c r="N4" s="14">
        <v>16.8</v>
      </c>
      <c r="O4" s="14">
        <v>12.6</v>
      </c>
      <c r="P4" s="14">
        <v>2.5</v>
      </c>
    </row>
    <row r="5" spans="1:16" x14ac:dyDescent="0.35">
      <c r="A5" s="30"/>
      <c r="B5" s="3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 s="13" t="s">
        <v>28</v>
      </c>
      <c r="K5" s="14">
        <v>0.7</v>
      </c>
      <c r="L5" s="14">
        <v>1.5</v>
      </c>
      <c r="M5" s="14">
        <v>19.899999999999999</v>
      </c>
      <c r="N5" s="14">
        <v>16.399999999999999</v>
      </c>
      <c r="O5" s="14">
        <v>21.1</v>
      </c>
      <c r="P5" s="14">
        <v>2.2000000000000002</v>
      </c>
    </row>
    <row r="6" spans="1:16" x14ac:dyDescent="0.35">
      <c r="A6" s="30"/>
      <c r="B6" s="3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 s="13" t="s">
        <v>27</v>
      </c>
      <c r="K6" s="14">
        <v>0.8</v>
      </c>
      <c r="L6" s="14">
        <v>1.5</v>
      </c>
      <c r="M6" s="14">
        <v>13.9</v>
      </c>
      <c r="N6" s="14">
        <v>13.1</v>
      </c>
      <c r="O6" s="14">
        <v>14.6</v>
      </c>
      <c r="P6" s="14">
        <v>2</v>
      </c>
    </row>
    <row r="7" spans="1:16" x14ac:dyDescent="0.35">
      <c r="A7" s="30"/>
      <c r="B7" s="3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 s="13" t="s">
        <v>23</v>
      </c>
      <c r="K7" s="14">
        <v>0.5</v>
      </c>
      <c r="L7" s="14">
        <v>2</v>
      </c>
      <c r="M7" s="14">
        <v>16.5</v>
      </c>
      <c r="N7" s="14">
        <v>28</v>
      </c>
      <c r="O7" s="14">
        <v>13.3</v>
      </c>
      <c r="P7" s="14">
        <v>3.8</v>
      </c>
    </row>
    <row r="8" spans="1:16" x14ac:dyDescent="0.35">
      <c r="A8" s="30"/>
      <c r="B8" s="3" t="s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 s="13" t="s">
        <v>24</v>
      </c>
      <c r="K8" s="14">
        <v>0.7</v>
      </c>
      <c r="L8" s="14">
        <v>1.2</v>
      </c>
      <c r="M8" s="14">
        <v>27.9</v>
      </c>
      <c r="N8" s="14">
        <v>38.700000000000003</v>
      </c>
      <c r="O8" s="14">
        <v>15.6</v>
      </c>
      <c r="P8" s="14">
        <v>6.4</v>
      </c>
    </row>
    <row r="9" spans="1:16" x14ac:dyDescent="0.35">
      <c r="A9" s="30"/>
      <c r="B9" s="3" t="s">
        <v>15</v>
      </c>
      <c r="C9">
        <v>8.2238909710900945</v>
      </c>
      <c r="D9">
        <v>315.162819730347</v>
      </c>
      <c r="E9">
        <v>4.9253321302547439</v>
      </c>
      <c r="F9">
        <v>2.7827474081110188</v>
      </c>
      <c r="G9">
        <v>1.173038989426696E-2</v>
      </c>
      <c r="H9">
        <v>7.6022865556826219E-2</v>
      </c>
      <c r="J9" s="13" t="s">
        <v>21</v>
      </c>
      <c r="K9" s="14">
        <v>0.9</v>
      </c>
      <c r="L9" s="14">
        <v>1.2</v>
      </c>
      <c r="M9" s="14">
        <v>22.1</v>
      </c>
      <c r="N9" s="14">
        <v>8.1999999999999993</v>
      </c>
      <c r="O9" s="14">
        <v>27.1</v>
      </c>
      <c r="P9" s="14">
        <v>1.1000000000000001</v>
      </c>
    </row>
    <row r="10" spans="1:16" x14ac:dyDescent="0.35">
      <c r="A10" s="30" t="s">
        <v>25</v>
      </c>
      <c r="B10" s="3" t="s">
        <v>16</v>
      </c>
      <c r="C10">
        <v>3.3294674322837752</v>
      </c>
      <c r="D10">
        <v>125.6907714779469</v>
      </c>
      <c r="E10">
        <v>0</v>
      </c>
      <c r="F10">
        <v>0</v>
      </c>
      <c r="G10">
        <v>0</v>
      </c>
      <c r="H10">
        <v>0</v>
      </c>
      <c r="J10" s="13" t="s">
        <v>22</v>
      </c>
      <c r="K10" s="14">
        <v>0.7</v>
      </c>
      <c r="L10" s="14">
        <v>1.1000000000000001</v>
      </c>
      <c r="M10" s="14">
        <v>25.1</v>
      </c>
      <c r="N10" s="14">
        <v>12</v>
      </c>
      <c r="O10" s="14">
        <v>11.7</v>
      </c>
      <c r="P10" s="14">
        <v>1.1000000000000001</v>
      </c>
    </row>
    <row r="11" spans="1:16" x14ac:dyDescent="0.35">
      <c r="A11" s="30"/>
      <c r="B11" s="3" t="s">
        <v>9</v>
      </c>
      <c r="C11">
        <v>4.4941071293853048</v>
      </c>
      <c r="D11">
        <v>173.09093439619019</v>
      </c>
      <c r="E11">
        <v>3.596474548785261</v>
      </c>
      <c r="F11">
        <v>2.0319604778514302</v>
      </c>
      <c r="G11">
        <v>8.5655236208155849E-3</v>
      </c>
      <c r="H11">
        <v>5.5511850545337277E-2</v>
      </c>
    </row>
    <row r="12" spans="1:16" x14ac:dyDescent="0.35">
      <c r="A12" s="30"/>
      <c r="B12" s="3" t="s">
        <v>10</v>
      </c>
      <c r="C12">
        <v>1.096555425208944</v>
      </c>
      <c r="D12">
        <v>52.007390756114233</v>
      </c>
      <c r="E12">
        <v>9.2445676434025668</v>
      </c>
      <c r="F12">
        <v>1.8301307195248231</v>
      </c>
      <c r="G12">
        <v>4.4618352794521622E-2</v>
      </c>
      <c r="H12">
        <v>1.039050713828432E-2</v>
      </c>
    </row>
    <row r="13" spans="1:16" x14ac:dyDescent="0.35">
      <c r="A13" s="30"/>
      <c r="B13" s="3" t="s">
        <v>11</v>
      </c>
      <c r="C13">
        <v>0.2808498489514088</v>
      </c>
      <c r="D13">
        <v>60.787819344334572</v>
      </c>
      <c r="E13">
        <v>1.950821880005511</v>
      </c>
      <c r="F13">
        <v>1.922675860302655</v>
      </c>
      <c r="G13">
        <v>6.7054394337688096E-3</v>
      </c>
      <c r="H13">
        <v>1.372312199855354E-2</v>
      </c>
    </row>
    <row r="14" spans="1:16" x14ac:dyDescent="0.35">
      <c r="A14" s="30"/>
      <c r="B14" s="3" t="s">
        <v>12</v>
      </c>
      <c r="C14">
        <v>-0.22991060872442301</v>
      </c>
      <c r="D14">
        <v>93.719864023280252</v>
      </c>
      <c r="E14">
        <v>1.5321484895832069</v>
      </c>
      <c r="F14">
        <v>3.1418157919114549</v>
      </c>
      <c r="G14">
        <v>3.1496935597762161E-3</v>
      </c>
      <c r="H14">
        <v>1.328539005447622E-2</v>
      </c>
    </row>
    <row r="15" spans="1:16" x14ac:dyDescent="0.35">
      <c r="A15" s="30"/>
      <c r="B15" s="3" t="s">
        <v>13</v>
      </c>
      <c r="C15">
        <v>1.3180163223625941E-2</v>
      </c>
      <c r="D15">
        <v>1.0874993518735681</v>
      </c>
      <c r="E15">
        <v>5.7141735415599264</v>
      </c>
      <c r="F15">
        <v>3.8863152150659461</v>
      </c>
      <c r="G15">
        <v>6.4795847303376324E-3</v>
      </c>
      <c r="H15">
        <v>1.659793244470616E-2</v>
      </c>
    </row>
    <row r="16" spans="1:16" x14ac:dyDescent="0.35">
      <c r="A16" s="30"/>
      <c r="B16" s="3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30"/>
      <c r="B17" s="3" t="s">
        <v>15</v>
      </c>
      <c r="C17">
        <v>8.7490203894592504</v>
      </c>
      <c r="D17">
        <v>497.50414605677639</v>
      </c>
      <c r="E17">
        <v>22.038186103336471</v>
      </c>
      <c r="F17">
        <v>12.812898064656309</v>
      </c>
      <c r="G17">
        <v>6.9518594139219861E-2</v>
      </c>
      <c r="H17">
        <v>0.1095088021813575</v>
      </c>
    </row>
    <row r="18" spans="1:8" x14ac:dyDescent="0.35">
      <c r="A18" s="30" t="s">
        <v>26</v>
      </c>
      <c r="B18" s="3" t="s">
        <v>16</v>
      </c>
      <c r="C18">
        <v>3.3294674322837752</v>
      </c>
      <c r="D18">
        <v>125.6907714779469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30"/>
      <c r="B19" s="3" t="s">
        <v>9</v>
      </c>
      <c r="C19">
        <v>3.116818239181061</v>
      </c>
      <c r="D19">
        <v>118.9863551239508</v>
      </c>
      <c r="E19">
        <v>1.38598376320364</v>
      </c>
      <c r="F19">
        <v>0.7830624661934027</v>
      </c>
      <c r="G19">
        <v>3.3009205266856158E-3</v>
      </c>
      <c r="H19">
        <v>2.1392761849854121E-2</v>
      </c>
    </row>
    <row r="20" spans="1:8" x14ac:dyDescent="0.35">
      <c r="A20" s="30"/>
      <c r="B20" s="3" t="s">
        <v>10</v>
      </c>
      <c r="C20">
        <v>2.818048852656533</v>
      </c>
      <c r="D20">
        <v>130.25416209636239</v>
      </c>
      <c r="E20">
        <v>20.795493828609029</v>
      </c>
      <c r="F20">
        <v>4.1168471638137527</v>
      </c>
      <c r="G20">
        <v>0.1003682071430725</v>
      </c>
      <c r="H20">
        <v>2.3373264754519171E-2</v>
      </c>
    </row>
    <row r="21" spans="1:8" x14ac:dyDescent="0.35">
      <c r="A21" s="30"/>
      <c r="B21" s="3" t="s">
        <v>11</v>
      </c>
      <c r="C21">
        <v>1.0476072037285731</v>
      </c>
      <c r="D21">
        <v>182.66790855955179</v>
      </c>
      <c r="E21">
        <v>5.5633849415600567</v>
      </c>
      <c r="F21">
        <v>5.4831176738076168</v>
      </c>
      <c r="G21">
        <v>1.9122679089629141E-2</v>
      </c>
      <c r="H21">
        <v>3.9135818118734983E-2</v>
      </c>
    </row>
    <row r="22" spans="1:8" x14ac:dyDescent="0.35">
      <c r="A22" s="30"/>
      <c r="B22" s="3" t="s">
        <v>12</v>
      </c>
      <c r="C22">
        <v>-0.85354408459707198</v>
      </c>
      <c r="D22">
        <v>259.80158109145799</v>
      </c>
      <c r="E22">
        <v>4.3694054913701903</v>
      </c>
      <c r="F22">
        <v>8.9598803688968243</v>
      </c>
      <c r="G22">
        <v>8.9823463128977168E-3</v>
      </c>
      <c r="H22">
        <v>3.7887487181359647E-2</v>
      </c>
    </row>
    <row r="23" spans="1:8" x14ac:dyDescent="0.35">
      <c r="A23" s="30"/>
      <c r="B23" s="3" t="s">
        <v>13</v>
      </c>
      <c r="C23">
        <v>4.9424360286953239E-2</v>
      </c>
      <c r="D23">
        <v>3.5482052578751588</v>
      </c>
      <c r="E23">
        <v>16.295771213354229</v>
      </c>
      <c r="F23">
        <v>11.083055694245409</v>
      </c>
      <c r="G23">
        <v>1.8478583045327041E-2</v>
      </c>
      <c r="H23">
        <v>4.7334248385428462E-2</v>
      </c>
    </row>
    <row r="24" spans="1:8" x14ac:dyDescent="0.35">
      <c r="A24" s="30"/>
      <c r="B24" s="3" t="s">
        <v>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30"/>
      <c r="B25" s="3" t="s">
        <v>15</v>
      </c>
      <c r="C25">
        <v>9.2725930026704351</v>
      </c>
      <c r="D25">
        <v>812.06885031418199</v>
      </c>
      <c r="E25">
        <v>48.410039238097141</v>
      </c>
      <c r="F25">
        <v>30.42596336695701</v>
      </c>
      <c r="G25">
        <v>0.150252736117612</v>
      </c>
      <c r="H25">
        <v>0.16912358028989641</v>
      </c>
    </row>
    <row r="26" spans="1:8" x14ac:dyDescent="0.35">
      <c r="A26" s="30" t="s">
        <v>28</v>
      </c>
      <c r="B26" s="3" t="s">
        <v>16</v>
      </c>
      <c r="C26">
        <v>3.3294674322837752</v>
      </c>
      <c r="D26">
        <v>125.6907714779469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30"/>
      <c r="B27" s="3" t="s">
        <v>9</v>
      </c>
      <c r="C27">
        <v>1.7864012614405429</v>
      </c>
      <c r="D27">
        <v>67.438458938649291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30"/>
      <c r="B28" s="3" t="s">
        <v>10</v>
      </c>
      <c r="C28">
        <v>5.9430283786277087</v>
      </c>
      <c r="D28">
        <v>293.7343466734705</v>
      </c>
      <c r="E28">
        <v>60.4429383898674</v>
      </c>
      <c r="F28">
        <v>11.965781699329771</v>
      </c>
      <c r="G28">
        <v>0.29172422692382688</v>
      </c>
      <c r="H28">
        <v>6.7935333162605555E-2</v>
      </c>
    </row>
    <row r="29" spans="1:8" x14ac:dyDescent="0.35">
      <c r="A29" s="30"/>
      <c r="B29" s="3" t="s">
        <v>11</v>
      </c>
      <c r="C29">
        <v>1.413296950533439</v>
      </c>
      <c r="D29">
        <v>164.31415385505011</v>
      </c>
      <c r="E29">
        <v>4.313295353919024</v>
      </c>
      <c r="F29">
        <v>4.2510640978213132</v>
      </c>
      <c r="G29">
        <v>1.4825823439902529E-2</v>
      </c>
      <c r="H29">
        <v>3.0342020952449911E-2</v>
      </c>
    </row>
    <row r="30" spans="1:8" x14ac:dyDescent="0.35">
      <c r="A30" s="30"/>
      <c r="B30" s="3" t="s">
        <v>12</v>
      </c>
      <c r="C30">
        <v>-1.139484685734824</v>
      </c>
      <c r="D30">
        <v>183.3894579787686</v>
      </c>
      <c r="E30">
        <v>3.3876024404722318</v>
      </c>
      <c r="F30">
        <v>6.946600095587824</v>
      </c>
      <c r="G30">
        <v>6.9640179541214948E-3</v>
      </c>
      <c r="H30">
        <v>2.937418930159447E-2</v>
      </c>
    </row>
    <row r="31" spans="1:8" x14ac:dyDescent="0.35">
      <c r="A31" s="30"/>
      <c r="B31" s="3" t="s">
        <v>13</v>
      </c>
      <c r="C31">
        <v>6.7265047231892236E-2</v>
      </c>
      <c r="D31">
        <v>3.843678157863061</v>
      </c>
      <c r="E31">
        <v>12.63412023460995</v>
      </c>
      <c r="F31">
        <v>8.5926990735624749</v>
      </c>
      <c r="G31">
        <v>1.432645542842231E-2</v>
      </c>
      <c r="H31">
        <v>3.6698268372000568E-2</v>
      </c>
    </row>
    <row r="32" spans="1:8" x14ac:dyDescent="0.35">
      <c r="A32" s="30"/>
      <c r="B32" s="3" t="s">
        <v>14</v>
      </c>
      <c r="C32">
        <v>3.3540294512155122E-2</v>
      </c>
      <c r="D32">
        <v>4.3378607779807838</v>
      </c>
      <c r="E32">
        <v>7.2615999538555496</v>
      </c>
      <c r="F32">
        <v>14.97689669282375</v>
      </c>
      <c r="G32">
        <v>8.0559913441319939E-3</v>
      </c>
      <c r="H32">
        <v>2.182949714942397E-3</v>
      </c>
    </row>
    <row r="33" spans="1:8" x14ac:dyDescent="0.35">
      <c r="A33" s="30"/>
      <c r="B33" s="3" t="s">
        <v>15</v>
      </c>
      <c r="C33">
        <v>11.1982856780253</v>
      </c>
      <c r="D33">
        <v>833.86859456676621</v>
      </c>
      <c r="E33">
        <v>88.039556372724164</v>
      </c>
      <c r="F33">
        <v>46.733041659125128</v>
      </c>
      <c r="G33">
        <v>0.33589651509040519</v>
      </c>
      <c r="H33">
        <v>0.16653276150359289</v>
      </c>
    </row>
    <row r="34" spans="1:8" x14ac:dyDescent="0.35">
      <c r="A34" s="30" t="s">
        <v>27</v>
      </c>
      <c r="B34" s="3" t="s">
        <v>16</v>
      </c>
      <c r="C34">
        <v>3.3294674322837752</v>
      </c>
      <c r="D34">
        <v>125.6907714779469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30"/>
      <c r="B35" s="3" t="s">
        <v>9</v>
      </c>
      <c r="C35">
        <v>3.474519018357185</v>
      </c>
      <c r="D35">
        <v>132.57739501748469</v>
      </c>
      <c r="E35">
        <v>1.477599639076423</v>
      </c>
      <c r="F35">
        <v>0.83482422243330567</v>
      </c>
      <c r="G35">
        <v>3.519116968280089E-3</v>
      </c>
      <c r="H35">
        <v>2.2806859667047871E-2</v>
      </c>
    </row>
    <row r="36" spans="1:8" x14ac:dyDescent="0.35">
      <c r="A36" s="30"/>
      <c r="B36" s="3" t="s">
        <v>10</v>
      </c>
      <c r="C36">
        <v>2.4441106039905161</v>
      </c>
      <c r="D36">
        <v>136.28595853236979</v>
      </c>
      <c r="E36">
        <v>38.348718197396039</v>
      </c>
      <c r="F36">
        <v>7.5918279723488933</v>
      </c>
      <c r="G36">
        <v>0.18508779466503361</v>
      </c>
      <c r="H36">
        <v>4.3102354327891397E-2</v>
      </c>
    </row>
    <row r="37" spans="1:8" x14ac:dyDescent="0.35">
      <c r="A37" s="30"/>
      <c r="B37" s="3" t="s">
        <v>11</v>
      </c>
      <c r="C37">
        <v>0.79294934393490735</v>
      </c>
      <c r="D37">
        <v>124.66117519619461</v>
      </c>
      <c r="E37">
        <v>3.682234269959932</v>
      </c>
      <c r="F37">
        <v>3.6291078213717451</v>
      </c>
      <c r="G37">
        <v>1.2656716192917869E-2</v>
      </c>
      <c r="H37">
        <v>2.5902800574377469E-2</v>
      </c>
    </row>
    <row r="38" spans="1:8" x14ac:dyDescent="0.35">
      <c r="A38" s="30"/>
      <c r="B38" s="3" t="s">
        <v>12</v>
      </c>
      <c r="C38">
        <v>-0.64153466179338881</v>
      </c>
      <c r="D38">
        <v>169.06299166835319</v>
      </c>
      <c r="E38">
        <v>2.8919758040619761</v>
      </c>
      <c r="F38">
        <v>5.9302706707621011</v>
      </c>
      <c r="G38">
        <v>5.9451401917059252E-3</v>
      </c>
      <c r="H38">
        <v>2.5076568522103611E-2</v>
      </c>
    </row>
    <row r="39" spans="1:8" x14ac:dyDescent="0.35">
      <c r="A39" s="30"/>
      <c r="B39" s="3" t="s">
        <v>13</v>
      </c>
      <c r="C39">
        <v>3.7598771876717597E-2</v>
      </c>
      <c r="D39">
        <v>2.5329112767256872</v>
      </c>
      <c r="E39">
        <v>10.78567236449636</v>
      </c>
      <c r="F39">
        <v>7.3355354558264994</v>
      </c>
      <c r="G39">
        <v>1.223040872859747E-2</v>
      </c>
      <c r="H39">
        <v>3.1329090720575797E-2</v>
      </c>
    </row>
    <row r="40" spans="1:8" x14ac:dyDescent="0.35">
      <c r="A40" s="30"/>
      <c r="B40" s="3" t="s">
        <v>14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30"/>
      <c r="B41" s="3" t="s">
        <v>15</v>
      </c>
      <c r="C41">
        <v>9.2018815077803264</v>
      </c>
      <c r="D41">
        <v>681.93106987611179</v>
      </c>
      <c r="E41">
        <v>57.186200274990739</v>
      </c>
      <c r="F41">
        <v>25.32156614274254</v>
      </c>
      <c r="G41">
        <v>0.2194391767465349</v>
      </c>
      <c r="H41">
        <v>0.1482176738119961</v>
      </c>
    </row>
    <row r="42" spans="1:8" x14ac:dyDescent="0.35">
      <c r="A42" s="30" t="s">
        <v>23</v>
      </c>
      <c r="B42" s="3" t="s">
        <v>16</v>
      </c>
      <c r="C42">
        <v>3.3294674322837752</v>
      </c>
      <c r="D42">
        <v>125.6907714779469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30"/>
      <c r="B43" s="3" t="s">
        <v>9</v>
      </c>
      <c r="C43">
        <v>2.0410673538325992</v>
      </c>
      <c r="D43">
        <v>77.097216871385186</v>
      </c>
      <c r="E43">
        <v>4.6979238814594142E-2</v>
      </c>
      <c r="F43">
        <v>2.6542647600006391E-2</v>
      </c>
      <c r="G43">
        <v>1.118878430240128E-4</v>
      </c>
      <c r="H43">
        <v>7.2512802424538219E-4</v>
      </c>
    </row>
    <row r="44" spans="1:8" x14ac:dyDescent="0.35">
      <c r="A44" s="30"/>
      <c r="B44" s="3" t="s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30"/>
      <c r="B45" s="3" t="s">
        <v>11</v>
      </c>
      <c r="C45">
        <v>2.3852070552801918</v>
      </c>
      <c r="D45">
        <v>358.10971180887702</v>
      </c>
      <c r="E45">
        <v>10.42032016334295</v>
      </c>
      <c r="F45">
        <v>10.26997812564411</v>
      </c>
      <c r="G45">
        <v>3.5817122235464523E-2</v>
      </c>
      <c r="H45">
        <v>7.3302091970148892E-2</v>
      </c>
    </row>
    <row r="46" spans="1:8" x14ac:dyDescent="0.35">
      <c r="A46" s="30"/>
      <c r="B46" s="3" t="s">
        <v>12</v>
      </c>
      <c r="C46">
        <v>-1.949811216921739</v>
      </c>
      <c r="D46">
        <v>473.35836442190401</v>
      </c>
      <c r="E46">
        <v>8.183975155740125</v>
      </c>
      <c r="F46">
        <v>16.78201725206802</v>
      </c>
      <c r="G46">
        <v>1.6824096369677199E-2</v>
      </c>
      <c r="H46">
        <v>7.0963945648458385E-2</v>
      </c>
    </row>
    <row r="47" spans="1:8" x14ac:dyDescent="0.35">
      <c r="A47" s="30"/>
      <c r="B47" s="3" t="s">
        <v>13</v>
      </c>
      <c r="C47">
        <v>0.1126367276207185</v>
      </c>
      <c r="D47">
        <v>7.4032890891694603</v>
      </c>
      <c r="E47">
        <v>30.522272885205449</v>
      </c>
      <c r="F47">
        <v>20.758762863857051</v>
      </c>
      <c r="G47">
        <v>3.4610718747646818E-2</v>
      </c>
      <c r="H47">
        <v>8.8657899471010285E-2</v>
      </c>
    </row>
    <row r="48" spans="1:8" x14ac:dyDescent="0.35">
      <c r="A48" s="30"/>
      <c r="B48" s="3" t="s">
        <v>14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30"/>
      <c r="B49" s="3" t="s">
        <v>15</v>
      </c>
      <c r="C49">
        <v>5.6833383512261584</v>
      </c>
      <c r="D49">
        <v>1032.779220376319</v>
      </c>
      <c r="E49">
        <v>49.173547443103118</v>
      </c>
      <c r="F49">
        <v>47.837300889169192</v>
      </c>
      <c r="G49">
        <v>8.7363825195812539E-2</v>
      </c>
      <c r="H49">
        <v>0.23364906511386299</v>
      </c>
    </row>
    <row r="50" spans="1:8" x14ac:dyDescent="0.35">
      <c r="A50" s="30" t="s">
        <v>24</v>
      </c>
      <c r="B50" s="3" t="s">
        <v>16</v>
      </c>
      <c r="C50">
        <v>3.3294674322837752</v>
      </c>
      <c r="D50">
        <v>125.6907714779469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30"/>
      <c r="B51" s="3" t="s">
        <v>9</v>
      </c>
      <c r="C51">
        <v>2.0410673538325992</v>
      </c>
      <c r="D51">
        <v>77.097216871385186</v>
      </c>
      <c r="E51">
        <v>4.6979238814594142E-2</v>
      </c>
      <c r="F51">
        <v>2.6542647600006391E-2</v>
      </c>
      <c r="G51">
        <v>1.118878430240128E-4</v>
      </c>
      <c r="H51">
        <v>7.2512802424538219E-4</v>
      </c>
    </row>
    <row r="52" spans="1:8" x14ac:dyDescent="0.35">
      <c r="A52" s="30"/>
      <c r="B52" s="3" t="s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30"/>
      <c r="B53" s="3" t="s">
        <v>11</v>
      </c>
      <c r="C53">
        <v>0.84294391037412209</v>
      </c>
      <c r="D53">
        <v>126.43342037537229</v>
      </c>
      <c r="E53">
        <v>3.6777600576504552</v>
      </c>
      <c r="F53">
        <v>3.6246981619920402</v>
      </c>
      <c r="G53">
        <v>1.2641337259575711E-2</v>
      </c>
      <c r="H53">
        <v>2.587132657769961E-2</v>
      </c>
    </row>
    <row r="54" spans="1:8" x14ac:dyDescent="0.35">
      <c r="A54" s="30"/>
      <c r="B54" s="3" t="s">
        <v>12</v>
      </c>
      <c r="C54">
        <v>-0.68587537064050752</v>
      </c>
      <c r="D54">
        <v>167.1542322109093</v>
      </c>
      <c r="E54">
        <v>2.888461819672985</v>
      </c>
      <c r="F54">
        <v>5.9230649124945947</v>
      </c>
      <c r="G54">
        <v>5.9379163657684222E-3</v>
      </c>
      <c r="H54">
        <v>2.5046098464161792E-2</v>
      </c>
    </row>
    <row r="55" spans="1:8" x14ac:dyDescent="0.35">
      <c r="A55" s="30"/>
      <c r="B55" s="3" t="s">
        <v>13</v>
      </c>
      <c r="C55">
        <v>0.52066540302594577</v>
      </c>
      <c r="D55">
        <v>34.360959489148946</v>
      </c>
      <c r="E55">
        <v>142.4372734642921</v>
      </c>
      <c r="F55">
        <v>96.874226697999561</v>
      </c>
      <c r="G55">
        <v>0.16151668748901851</v>
      </c>
      <c r="H55">
        <v>0.413736864198048</v>
      </c>
    </row>
    <row r="56" spans="1:8" x14ac:dyDescent="0.35">
      <c r="A56" s="30"/>
      <c r="B56" s="3" t="s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30"/>
      <c r="B57" s="3" t="s">
        <v>15</v>
      </c>
      <c r="C57">
        <v>5.8130397280065456</v>
      </c>
      <c r="D57">
        <v>521.85646713179949</v>
      </c>
      <c r="E57">
        <v>149.05047458043009</v>
      </c>
      <c r="F57">
        <v>106.4485324200862</v>
      </c>
      <c r="G57">
        <v>0.18020782895738671</v>
      </c>
      <c r="H57">
        <v>0.46537941726415483</v>
      </c>
    </row>
    <row r="58" spans="1:8" x14ac:dyDescent="0.35">
      <c r="A58" s="30" t="s">
        <v>21</v>
      </c>
      <c r="B58" s="3" t="s">
        <v>16</v>
      </c>
      <c r="C58">
        <v>3.3294674322837752</v>
      </c>
      <c r="D58">
        <v>125.6907714779469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30"/>
      <c r="B59" s="3" t="s">
        <v>9</v>
      </c>
      <c r="C59">
        <v>2.0410673538325992</v>
      </c>
      <c r="D59">
        <v>77.097216871385186</v>
      </c>
      <c r="E59">
        <v>4.6979238814594142E-2</v>
      </c>
      <c r="F59">
        <v>2.6542647600006391E-2</v>
      </c>
      <c r="G59">
        <v>1.118878430240128E-4</v>
      </c>
      <c r="H59">
        <v>7.2512802424538219E-4</v>
      </c>
    </row>
    <row r="60" spans="1:8" x14ac:dyDescent="0.35">
      <c r="A60" s="30"/>
      <c r="B60" s="3" t="s">
        <v>10</v>
      </c>
      <c r="C60">
        <v>12.35275700260372</v>
      </c>
      <c r="D60">
        <v>590.89608972837732</v>
      </c>
      <c r="E60">
        <v>108.5226773132583</v>
      </c>
      <c r="F60">
        <v>21.48404264831283</v>
      </c>
      <c r="G60">
        <v>0.52377821109076705</v>
      </c>
      <c r="H60">
        <v>0.121974947535146</v>
      </c>
    </row>
    <row r="61" spans="1:8" x14ac:dyDescent="0.35">
      <c r="A61" s="30"/>
      <c r="B61" s="3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30"/>
      <c r="B62" s="3" t="s">
        <v>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30"/>
      <c r="B63" s="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30"/>
      <c r="B64" s="3" t="s">
        <v>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30"/>
      <c r="B65" s="3" t="s">
        <v>15</v>
      </c>
      <c r="C65">
        <v>17.488062787850701</v>
      </c>
      <c r="D65">
        <v>784.80394478474614</v>
      </c>
      <c r="E65">
        <v>108.5696565520729</v>
      </c>
      <c r="F65">
        <v>21.510585295912829</v>
      </c>
      <c r="G65">
        <v>0.52389009893379102</v>
      </c>
      <c r="H65">
        <v>0.1227000755593913</v>
      </c>
    </row>
    <row r="66" spans="1:8" x14ac:dyDescent="0.35">
      <c r="A66" s="30" t="s">
        <v>22</v>
      </c>
      <c r="B66" s="3" t="s">
        <v>16</v>
      </c>
      <c r="C66">
        <v>3.3294674322837752</v>
      </c>
      <c r="D66">
        <v>125.6907714779469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30"/>
      <c r="B67" s="3" t="s">
        <v>9</v>
      </c>
      <c r="C67">
        <v>2.0410673538325992</v>
      </c>
      <c r="D67">
        <v>77.097216871385186</v>
      </c>
      <c r="E67">
        <v>4.6979238814594142E-2</v>
      </c>
      <c r="F67">
        <v>2.6542647600006391E-2</v>
      </c>
      <c r="G67">
        <v>1.118878430240128E-4</v>
      </c>
      <c r="H67">
        <v>7.2512802424538219E-4</v>
      </c>
    </row>
    <row r="68" spans="1:8" x14ac:dyDescent="0.35">
      <c r="A68" s="30"/>
      <c r="B68" s="3" t="s">
        <v>10</v>
      </c>
      <c r="C68">
        <v>0.55120005191762877</v>
      </c>
      <c r="D68">
        <v>138.67074288493259</v>
      </c>
      <c r="E68">
        <v>104.94422478711461</v>
      </c>
      <c r="F68">
        <v>34.401198122023359</v>
      </c>
      <c r="G68">
        <v>0.15986514105762101</v>
      </c>
      <c r="H68">
        <v>8.6080795213214892E-2</v>
      </c>
    </row>
    <row r="69" spans="1:8" x14ac:dyDescent="0.35">
      <c r="A69" s="30"/>
      <c r="B69" s="3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30"/>
      <c r="B70" s="3" t="s">
        <v>12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30"/>
      <c r="B71" s="3" t="s">
        <v>13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30"/>
      <c r="B72" s="3" t="s">
        <v>14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30"/>
      <c r="B73" s="3" t="s">
        <v>15</v>
      </c>
      <c r="C73">
        <v>5.6865058371646153</v>
      </c>
      <c r="D73">
        <v>332.5785979413015</v>
      </c>
      <c r="E73">
        <v>104.99120402592921</v>
      </c>
      <c r="F73">
        <v>34.427740769623362</v>
      </c>
      <c r="G73">
        <v>0.159977028900645</v>
      </c>
      <c r="H73">
        <v>8.6805923237460281E-2</v>
      </c>
    </row>
  </sheetData>
  <mergeCells count="10">
    <mergeCell ref="K1:P1"/>
    <mergeCell ref="A58:A65"/>
    <mergeCell ref="A66:A73"/>
    <mergeCell ref="A2:A9"/>
    <mergeCell ref="A10:A17"/>
    <mergeCell ref="A18:A25"/>
    <mergeCell ref="A26:A33"/>
    <mergeCell ref="A34:A41"/>
    <mergeCell ref="A42:A49"/>
    <mergeCell ref="A50:A5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A422-BB48-46C3-9915-02223E9250C8}">
  <dimension ref="A1:P73"/>
  <sheetViews>
    <sheetView workbookViewId="0">
      <selection activeCell="C66" sqref="C66:D66"/>
    </sheetView>
  </sheetViews>
  <sheetFormatPr baseColWidth="10" defaultRowHeight="14.5" x14ac:dyDescent="0.35"/>
  <cols>
    <col min="10" max="10" width="15" bestFit="1" customWidth="1"/>
    <col min="11" max="12" width="3.7265625" bestFit="1" customWidth="1"/>
    <col min="13" max="15" width="4.7265625" bestFit="1" customWidth="1"/>
    <col min="16" max="16" width="4.81640625" bestFit="1" customWidth="1"/>
  </cols>
  <sheetData>
    <row r="1" spans="1:16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J1" s="8"/>
      <c r="K1" s="35" t="s">
        <v>29</v>
      </c>
      <c r="L1" s="36"/>
      <c r="M1" s="36"/>
      <c r="N1" s="36"/>
      <c r="O1" s="36"/>
      <c r="P1" s="37"/>
    </row>
    <row r="2" spans="1:16" x14ac:dyDescent="0.35">
      <c r="A2" s="30" t="s">
        <v>8</v>
      </c>
      <c r="B2" s="3" t="s">
        <v>16</v>
      </c>
      <c r="C2">
        <v>3.3294674322837752</v>
      </c>
      <c r="D2">
        <v>125.6907714779469</v>
      </c>
      <c r="E2">
        <v>0</v>
      </c>
      <c r="F2">
        <v>0</v>
      </c>
      <c r="G2">
        <v>0</v>
      </c>
      <c r="H2">
        <v>0</v>
      </c>
      <c r="J2" s="8"/>
      <c r="K2" s="9" t="s">
        <v>2</v>
      </c>
      <c r="L2" s="10" t="s">
        <v>3</v>
      </c>
      <c r="M2" s="10" t="s">
        <v>4</v>
      </c>
      <c r="N2" s="10" t="s">
        <v>5</v>
      </c>
      <c r="O2" s="10" t="s">
        <v>6</v>
      </c>
      <c r="P2" s="10" t="s">
        <v>7</v>
      </c>
    </row>
    <row r="3" spans="1:16" x14ac:dyDescent="0.35">
      <c r="A3" s="30"/>
      <c r="B3" s="3" t="s">
        <v>9</v>
      </c>
      <c r="C3">
        <v>5.1324017724013284</v>
      </c>
      <c r="D3">
        <v>198.34310128846349</v>
      </c>
      <c r="E3">
        <v>4.3134701131985969</v>
      </c>
      <c r="F3">
        <v>2.5152352725365388</v>
      </c>
      <c r="G3">
        <v>1.8982307584794411E-2</v>
      </c>
      <c r="H3">
        <v>7.5409853101360502E-2</v>
      </c>
      <c r="J3" s="11" t="s">
        <v>25</v>
      </c>
      <c r="K3" s="12">
        <v>0.9</v>
      </c>
      <c r="L3" s="12">
        <v>1.2</v>
      </c>
      <c r="M3" s="12">
        <v>5.7</v>
      </c>
      <c r="N3" s="12">
        <v>6.7</v>
      </c>
      <c r="O3" s="12">
        <v>5.5</v>
      </c>
      <c r="P3" s="12">
        <v>1.5</v>
      </c>
    </row>
    <row r="4" spans="1:16" x14ac:dyDescent="0.35">
      <c r="A4" s="30"/>
      <c r="B4" s="3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 s="13" t="s">
        <v>26</v>
      </c>
      <c r="K4" s="14">
        <v>0.8</v>
      </c>
      <c r="L4" s="14">
        <v>1.7</v>
      </c>
      <c r="M4" s="14">
        <v>13.3</v>
      </c>
      <c r="N4" s="14">
        <v>16.8</v>
      </c>
      <c r="O4" s="14">
        <v>12.6</v>
      </c>
      <c r="P4" s="14">
        <v>2.5</v>
      </c>
    </row>
    <row r="5" spans="1:16" x14ac:dyDescent="0.35">
      <c r="A5" s="30"/>
      <c r="B5" s="3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 s="13" t="s">
        <v>28</v>
      </c>
      <c r="K5" s="14">
        <v>0.7</v>
      </c>
      <c r="L5" s="14">
        <v>1.5</v>
      </c>
      <c r="M5" s="14">
        <v>19.899999999999999</v>
      </c>
      <c r="N5" s="14">
        <v>16.399999999999999</v>
      </c>
      <c r="O5" s="14">
        <v>21.1</v>
      </c>
      <c r="P5" s="14">
        <v>2.2000000000000002</v>
      </c>
    </row>
    <row r="6" spans="1:16" x14ac:dyDescent="0.35">
      <c r="A6" s="30"/>
      <c r="B6" s="3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 s="13" t="s">
        <v>27</v>
      </c>
      <c r="K6" s="14">
        <v>0.8</v>
      </c>
      <c r="L6" s="14">
        <v>1.5</v>
      </c>
      <c r="M6" s="14">
        <v>13.9</v>
      </c>
      <c r="N6" s="14">
        <v>13.1</v>
      </c>
      <c r="O6" s="14">
        <v>14.6</v>
      </c>
      <c r="P6" s="14">
        <v>2</v>
      </c>
    </row>
    <row r="7" spans="1:16" x14ac:dyDescent="0.35">
      <c r="A7" s="30"/>
      <c r="B7" s="3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 s="13" t="s">
        <v>23</v>
      </c>
      <c r="K7" s="14">
        <v>0.5</v>
      </c>
      <c r="L7" s="14">
        <v>2</v>
      </c>
      <c r="M7" s="14">
        <v>16.5</v>
      </c>
      <c r="N7" s="14">
        <v>28</v>
      </c>
      <c r="O7" s="14">
        <v>13.3</v>
      </c>
      <c r="P7" s="14">
        <v>3.8</v>
      </c>
    </row>
    <row r="8" spans="1:16" x14ac:dyDescent="0.35">
      <c r="A8" s="30"/>
      <c r="B8" s="3" t="s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 s="13" t="s">
        <v>24</v>
      </c>
      <c r="K8" s="14">
        <v>0.7</v>
      </c>
      <c r="L8" s="14">
        <v>1.2</v>
      </c>
      <c r="M8" s="14">
        <v>27.9</v>
      </c>
      <c r="N8" s="14">
        <v>38.700000000000003</v>
      </c>
      <c r="O8" s="14">
        <v>15.6</v>
      </c>
      <c r="P8" s="14">
        <v>6.4</v>
      </c>
    </row>
    <row r="9" spans="1:16" x14ac:dyDescent="0.35">
      <c r="A9" s="30"/>
      <c r="B9" s="3" t="s">
        <v>15</v>
      </c>
      <c r="C9">
        <v>8.226640203815716</v>
      </c>
      <c r="D9">
        <v>315.15373947344722</v>
      </c>
      <c r="E9">
        <v>4.3134701131985969</v>
      </c>
      <c r="F9">
        <v>2.5152352725365388</v>
      </c>
      <c r="G9">
        <v>1.8982307584794411E-2</v>
      </c>
      <c r="H9">
        <v>7.5409853101360502E-2</v>
      </c>
      <c r="J9" s="13" t="s">
        <v>21</v>
      </c>
      <c r="K9" s="14">
        <v>0.9</v>
      </c>
      <c r="L9" s="14">
        <v>1.2</v>
      </c>
      <c r="M9" s="14">
        <v>22.1</v>
      </c>
      <c r="N9" s="14">
        <v>8.1999999999999993</v>
      </c>
      <c r="O9" s="14">
        <v>27.1</v>
      </c>
      <c r="P9" s="14">
        <v>1.1000000000000001</v>
      </c>
    </row>
    <row r="10" spans="1:16" x14ac:dyDescent="0.35">
      <c r="A10" s="30" t="s">
        <v>25</v>
      </c>
      <c r="B10" s="3" t="s">
        <v>16</v>
      </c>
      <c r="C10">
        <v>3.3294674322837752</v>
      </c>
      <c r="D10">
        <v>125.6907714779469</v>
      </c>
      <c r="E10">
        <v>0</v>
      </c>
      <c r="F10">
        <v>0</v>
      </c>
      <c r="G10">
        <v>0</v>
      </c>
      <c r="H10">
        <v>0</v>
      </c>
      <c r="J10" s="13" t="s">
        <v>22</v>
      </c>
      <c r="K10" s="14">
        <v>0.7</v>
      </c>
      <c r="L10" s="14">
        <v>1.1000000000000001</v>
      </c>
      <c r="M10" s="14">
        <v>25.1</v>
      </c>
      <c r="N10" s="14">
        <v>12</v>
      </c>
      <c r="O10" s="14">
        <v>11.7</v>
      </c>
      <c r="P10" s="14">
        <v>1.1000000000000001</v>
      </c>
    </row>
    <row r="11" spans="1:16" x14ac:dyDescent="0.35">
      <c r="A11" s="30"/>
      <c r="B11" s="3" t="s">
        <v>9</v>
      </c>
      <c r="C11">
        <v>4.4970096764897756</v>
      </c>
      <c r="D11">
        <v>173.1180933839162</v>
      </c>
      <c r="E11">
        <v>3.1496932732254681</v>
      </c>
      <c r="F11">
        <v>1.8366232779142051</v>
      </c>
      <c r="G11">
        <v>1.386086954148116E-2</v>
      </c>
      <c r="H11">
        <v>5.5064229220345179E-2</v>
      </c>
    </row>
    <row r="12" spans="1:16" x14ac:dyDescent="0.35">
      <c r="A12" s="30"/>
      <c r="B12" s="3" t="s">
        <v>10</v>
      </c>
      <c r="C12">
        <v>0.54986131934164773</v>
      </c>
      <c r="D12">
        <v>38.94820671156215</v>
      </c>
      <c r="E12">
        <v>9.0226925550862269</v>
      </c>
      <c r="F12">
        <v>2.0359741383791552</v>
      </c>
      <c r="G12">
        <v>0.24311998450072581</v>
      </c>
      <c r="H12">
        <v>1.5684381404642948E-2</v>
      </c>
    </row>
    <row r="13" spans="1:16" x14ac:dyDescent="0.35">
      <c r="A13" s="30"/>
      <c r="B13" s="3" t="s">
        <v>11</v>
      </c>
      <c r="C13">
        <v>0.28250492706152319</v>
      </c>
      <c r="D13">
        <v>81.647989494375537</v>
      </c>
      <c r="E13">
        <v>1.7869446929685751</v>
      </c>
      <c r="F13">
        <v>2.40225437416191</v>
      </c>
      <c r="G13">
        <v>2.419505831526194E-2</v>
      </c>
      <c r="H13">
        <v>1.389647307899883E-2</v>
      </c>
    </row>
    <row r="14" spans="1:16" x14ac:dyDescent="0.35">
      <c r="A14" s="30"/>
      <c r="B14" s="3" t="s">
        <v>12</v>
      </c>
      <c r="C14">
        <v>-0.2249328636137867</v>
      </c>
      <c r="D14">
        <v>94.047427123218142</v>
      </c>
      <c r="E14">
        <v>1.30877281677933</v>
      </c>
      <c r="F14">
        <v>2.994802726919739</v>
      </c>
      <c r="G14">
        <v>5.3309688665073652E-3</v>
      </c>
      <c r="H14">
        <v>1.2657986304301989E-2</v>
      </c>
    </row>
    <row r="15" spans="1:16" x14ac:dyDescent="0.35">
      <c r="A15" s="30"/>
      <c r="B15" s="3" t="s">
        <v>13</v>
      </c>
      <c r="C15">
        <v>1.287291099747798E-2</v>
      </c>
      <c r="D15">
        <v>1.229832790064711</v>
      </c>
      <c r="E15">
        <v>5.6056961972930388</v>
      </c>
      <c r="F15">
        <v>3.858054841032172</v>
      </c>
      <c r="G15">
        <v>8.0860653657117924E-3</v>
      </c>
      <c r="H15">
        <v>1.654375936436674E-2</v>
      </c>
    </row>
    <row r="16" spans="1:16" x14ac:dyDescent="0.35">
      <c r="A16" s="30"/>
      <c r="B16" s="3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30"/>
      <c r="B17" s="3" t="s">
        <v>15</v>
      </c>
      <c r="C17">
        <v>8.2115544016910267</v>
      </c>
      <c r="D17">
        <v>505.80218768812051</v>
      </c>
      <c r="E17">
        <v>20.873799535352639</v>
      </c>
      <c r="F17">
        <v>13.127709358407181</v>
      </c>
      <c r="G17">
        <v>0.29459294658968799</v>
      </c>
      <c r="H17">
        <v>0.11384682937265569</v>
      </c>
    </row>
    <row r="18" spans="1:8" x14ac:dyDescent="0.35">
      <c r="A18" s="30" t="s">
        <v>26</v>
      </c>
      <c r="B18" s="3" t="s">
        <v>16</v>
      </c>
      <c r="C18">
        <v>3.3294674322837752</v>
      </c>
      <c r="D18">
        <v>125.6907714779469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30"/>
      <c r="B19" s="3" t="s">
        <v>9</v>
      </c>
      <c r="C19">
        <v>3.1195815334507428</v>
      </c>
      <c r="D19">
        <v>119.0589117365566</v>
      </c>
      <c r="E19">
        <v>1.2138063752562029</v>
      </c>
      <c r="F19">
        <v>0.70778480642125186</v>
      </c>
      <c r="G19">
        <v>5.3416032472314951E-3</v>
      </c>
      <c r="H19">
        <v>2.122026072963562E-2</v>
      </c>
    </row>
    <row r="20" spans="1:8" x14ac:dyDescent="0.35">
      <c r="A20" s="30"/>
      <c r="B20" s="3" t="s">
        <v>10</v>
      </c>
      <c r="C20">
        <v>1.5513450454801321</v>
      </c>
      <c r="D20">
        <v>99.4838011385268</v>
      </c>
      <c r="E20">
        <v>20.296389683582039</v>
      </c>
      <c r="F20">
        <v>4.5798883477354178</v>
      </c>
      <c r="G20">
        <v>0.54689416880458042</v>
      </c>
      <c r="H20">
        <v>3.5281742671716153E-2</v>
      </c>
    </row>
    <row r="21" spans="1:8" x14ac:dyDescent="0.35">
      <c r="A21" s="30"/>
      <c r="B21" s="3" t="s">
        <v>11</v>
      </c>
      <c r="C21">
        <v>1.0569520714633369</v>
      </c>
      <c r="D21">
        <v>242.33186866221419</v>
      </c>
      <c r="E21">
        <v>5.0960373666887229</v>
      </c>
      <c r="F21">
        <v>6.8507873260942693</v>
      </c>
      <c r="G21">
        <v>6.8999853072652356E-2</v>
      </c>
      <c r="H21">
        <v>3.9630183493881262E-2</v>
      </c>
    </row>
    <row r="22" spans="1:8" x14ac:dyDescent="0.35">
      <c r="A22" s="30"/>
      <c r="B22" s="3" t="s">
        <v>12</v>
      </c>
      <c r="C22">
        <v>-0.83384609403857679</v>
      </c>
      <c r="D22">
        <v>260.94345109935131</v>
      </c>
      <c r="E22">
        <v>3.7323791861370208</v>
      </c>
      <c r="F22">
        <v>8.5406261661578284</v>
      </c>
      <c r="G22">
        <v>1.520294201117366E-2</v>
      </c>
      <c r="H22">
        <v>3.6098247163204977E-2</v>
      </c>
    </row>
    <row r="23" spans="1:8" x14ac:dyDescent="0.35">
      <c r="A23" s="30"/>
      <c r="B23" s="3" t="s">
        <v>13</v>
      </c>
      <c r="C23">
        <v>4.8752145453741999E-2</v>
      </c>
      <c r="D23">
        <v>3.9618156847974402</v>
      </c>
      <c r="E23">
        <v>15.986413793396901</v>
      </c>
      <c r="F23">
        <v>11.002462308988781</v>
      </c>
      <c r="G23">
        <v>2.3059970135225372E-2</v>
      </c>
      <c r="H23">
        <v>4.7179756731173791E-2</v>
      </c>
    </row>
    <row r="24" spans="1:8" x14ac:dyDescent="0.35">
      <c r="A24" s="30"/>
      <c r="B24" s="3" t="s">
        <v>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30"/>
      <c r="B25" s="3" t="s">
        <v>15</v>
      </c>
      <c r="C25">
        <v>8.037023133223764</v>
      </c>
      <c r="D25">
        <v>842.59048650643001</v>
      </c>
      <c r="E25">
        <v>46.325026405060882</v>
      </c>
      <c r="F25">
        <v>31.681548955397549</v>
      </c>
      <c r="G25">
        <v>0.65949853727086327</v>
      </c>
      <c r="H25">
        <v>0.17941019078961179</v>
      </c>
    </row>
    <row r="26" spans="1:8" x14ac:dyDescent="0.35">
      <c r="A26" s="30" t="s">
        <v>28</v>
      </c>
      <c r="B26" s="3" t="s">
        <v>16</v>
      </c>
      <c r="C26">
        <v>3.3294674322837752</v>
      </c>
      <c r="D26">
        <v>125.6907714779469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30"/>
      <c r="B27" s="3" t="s">
        <v>9</v>
      </c>
      <c r="C27">
        <v>1.7888329982384621</v>
      </c>
      <c r="D27">
        <v>67.530259468427147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30"/>
      <c r="B28" s="3" t="s">
        <v>10</v>
      </c>
      <c r="C28">
        <v>3.031850965693164</v>
      </c>
      <c r="D28">
        <v>233.3880282332573</v>
      </c>
      <c r="E28">
        <v>58.992272138004161</v>
      </c>
      <c r="F28">
        <v>13.31162950570622</v>
      </c>
      <c r="G28">
        <v>1.589569876208323</v>
      </c>
      <c r="H28">
        <v>0.1025478027196402</v>
      </c>
    </row>
    <row r="29" spans="1:8" x14ac:dyDescent="0.35">
      <c r="A29" s="30"/>
      <c r="B29" s="3" t="s">
        <v>11</v>
      </c>
      <c r="C29">
        <v>1.432923613413865</v>
      </c>
      <c r="D29">
        <v>211.03907165939111</v>
      </c>
      <c r="E29">
        <v>3.9509605263755998</v>
      </c>
      <c r="F29">
        <v>5.3114191188869322</v>
      </c>
      <c r="G29">
        <v>5.3495623402954842E-2</v>
      </c>
      <c r="H29">
        <v>3.0725302695157969E-2</v>
      </c>
    </row>
    <row r="30" spans="1:8" x14ac:dyDescent="0.35">
      <c r="A30" s="30"/>
      <c r="B30" s="3" t="s">
        <v>12</v>
      </c>
      <c r="C30">
        <v>-1.1107450019184071</v>
      </c>
      <c r="D30">
        <v>184.78317431500631</v>
      </c>
      <c r="E30">
        <v>2.893715601515527</v>
      </c>
      <c r="F30">
        <v>6.6215520854679202</v>
      </c>
      <c r="G30">
        <v>1.17868491631477E-2</v>
      </c>
      <c r="H30">
        <v>2.7986990547882409E-2</v>
      </c>
    </row>
    <row r="31" spans="1:8" x14ac:dyDescent="0.35">
      <c r="A31" s="30"/>
      <c r="B31" s="3" t="s">
        <v>13</v>
      </c>
      <c r="C31">
        <v>6.7466613260411493E-2</v>
      </c>
      <c r="D31">
        <v>4.1916345077031831</v>
      </c>
      <c r="E31">
        <v>12.39427525961381</v>
      </c>
      <c r="F31">
        <v>8.5302149783873951</v>
      </c>
      <c r="G31">
        <v>1.7878407316874911E-2</v>
      </c>
      <c r="H31">
        <v>3.6578490908906483E-2</v>
      </c>
    </row>
    <row r="32" spans="1:8" x14ac:dyDescent="0.35">
      <c r="A32" s="30"/>
      <c r="B32" s="3" t="s">
        <v>14</v>
      </c>
      <c r="C32">
        <v>5.8718753143020948E-2</v>
      </c>
      <c r="D32">
        <v>5.6580557963588216</v>
      </c>
      <c r="E32">
        <v>7.3631060091583223</v>
      </c>
      <c r="F32">
        <v>15.029947309918519</v>
      </c>
      <c r="G32">
        <v>7.0040464528825605E-2</v>
      </c>
      <c r="H32">
        <v>5.0618189084470086E-3</v>
      </c>
    </row>
    <row r="33" spans="1:8" x14ac:dyDescent="0.35">
      <c r="A33" s="30"/>
      <c r="B33" s="3" t="s">
        <v>15</v>
      </c>
      <c r="C33">
        <v>8.3632863732449056</v>
      </c>
      <c r="D33">
        <v>823.40086216512736</v>
      </c>
      <c r="E33">
        <v>85.594329534667423</v>
      </c>
      <c r="F33">
        <v>48.804762998366989</v>
      </c>
      <c r="G33">
        <v>1.742771220620126</v>
      </c>
      <c r="H33">
        <v>0.2029004057800341</v>
      </c>
    </row>
    <row r="34" spans="1:8" x14ac:dyDescent="0.35">
      <c r="A34" s="30" t="s">
        <v>27</v>
      </c>
      <c r="B34" s="3" t="s">
        <v>16</v>
      </c>
      <c r="C34">
        <v>3.3294674322837752</v>
      </c>
      <c r="D34">
        <v>125.6907714779469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30"/>
      <c r="B35" s="3" t="s">
        <v>9</v>
      </c>
      <c r="C35">
        <v>3.4774431102955141</v>
      </c>
      <c r="D35">
        <v>132.653922479074</v>
      </c>
      <c r="E35">
        <v>1.2940410339595789</v>
      </c>
      <c r="F35">
        <v>0.75457058176096181</v>
      </c>
      <c r="G35">
        <v>5.6946922754383227E-3</v>
      </c>
      <c r="H35">
        <v>2.262295593040815E-2</v>
      </c>
    </row>
    <row r="36" spans="1:8" x14ac:dyDescent="0.35">
      <c r="A36" s="30"/>
      <c r="B36" s="3" t="s">
        <v>10</v>
      </c>
      <c r="C36">
        <v>1.1234836418507801</v>
      </c>
      <c r="D36">
        <v>117.8707914843099</v>
      </c>
      <c r="E36">
        <v>37.428326291027354</v>
      </c>
      <c r="F36">
        <v>8.4457166091059417</v>
      </c>
      <c r="G36">
        <v>1.0085209101614701</v>
      </c>
      <c r="H36">
        <v>6.5062634164008495E-2</v>
      </c>
    </row>
    <row r="37" spans="1:8" x14ac:dyDescent="0.35">
      <c r="A37" s="30"/>
      <c r="B37" s="3" t="s">
        <v>11</v>
      </c>
      <c r="C37">
        <v>0.80240164662841362</v>
      </c>
      <c r="D37">
        <v>164.27426574317329</v>
      </c>
      <c r="E37">
        <v>3.3729112095837919</v>
      </c>
      <c r="F37">
        <v>4.5343265176393999</v>
      </c>
      <c r="G37">
        <v>4.5668891560661007E-2</v>
      </c>
      <c r="H37">
        <v>2.6230005890092108E-2</v>
      </c>
    </row>
    <row r="38" spans="1:8" x14ac:dyDescent="0.35">
      <c r="A38" s="30"/>
      <c r="B38" s="3" t="s">
        <v>12</v>
      </c>
      <c r="C38">
        <v>-0.62615161599656732</v>
      </c>
      <c r="D38">
        <v>169.90730732464459</v>
      </c>
      <c r="E38">
        <v>2.4703475837185231</v>
      </c>
      <c r="F38">
        <v>5.6527791418877111</v>
      </c>
      <c r="G38">
        <v>1.0062362152862169E-2</v>
      </c>
      <c r="H38">
        <v>2.3892325299454099E-2</v>
      </c>
    </row>
    <row r="39" spans="1:8" x14ac:dyDescent="0.35">
      <c r="A39" s="30"/>
      <c r="B39" s="3" t="s">
        <v>13</v>
      </c>
      <c r="C39">
        <v>3.7507118199103032E-2</v>
      </c>
      <c r="D39">
        <v>2.820003465677638</v>
      </c>
      <c r="E39">
        <v>10.58091815363389</v>
      </c>
      <c r="F39">
        <v>7.2821931600405021</v>
      </c>
      <c r="G39">
        <v>1.5262688666725401E-2</v>
      </c>
      <c r="H39">
        <v>3.1226837421604928E-2</v>
      </c>
    </row>
    <row r="40" spans="1:8" x14ac:dyDescent="0.35">
      <c r="A40" s="30"/>
      <c r="B40" s="3" t="s">
        <v>14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30"/>
      <c r="B41" s="3" t="s">
        <v>15</v>
      </c>
      <c r="C41">
        <v>7.9089223323916302</v>
      </c>
      <c r="D41">
        <v>704.33692868186301</v>
      </c>
      <c r="E41">
        <v>55.146544271923133</v>
      </c>
      <c r="F41">
        <v>26.669586010434521</v>
      </c>
      <c r="G41">
        <v>1.085209544817157</v>
      </c>
      <c r="H41">
        <v>0.16903475870556781</v>
      </c>
    </row>
    <row r="42" spans="1:8" x14ac:dyDescent="0.35">
      <c r="A42" s="30" t="s">
        <v>23</v>
      </c>
      <c r="B42" s="3" t="s">
        <v>16</v>
      </c>
      <c r="C42">
        <v>3.3294674322837752</v>
      </c>
      <c r="D42">
        <v>125.6907714779469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30"/>
      <c r="B43" s="3" t="s">
        <v>9</v>
      </c>
      <c r="C43">
        <v>2.0438265270694171</v>
      </c>
      <c r="D43">
        <v>77.200301904734431</v>
      </c>
      <c r="E43">
        <v>4.1143122373980968E-2</v>
      </c>
      <c r="F43">
        <v>2.3991039673759679E-2</v>
      </c>
      <c r="G43">
        <v>1.8105872613143241E-4</v>
      </c>
      <c r="H43">
        <v>7.1928093459131762E-4</v>
      </c>
    </row>
    <row r="44" spans="1:8" x14ac:dyDescent="0.35">
      <c r="A44" s="30"/>
      <c r="B44" s="3" t="s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30"/>
      <c r="B45" s="3" t="s">
        <v>11</v>
      </c>
      <c r="C45">
        <v>2.411506614938832</v>
      </c>
      <c r="D45">
        <v>470.19345838351978</v>
      </c>
      <c r="E45">
        <v>9.5449697410952368</v>
      </c>
      <c r="F45">
        <v>12.83164800903681</v>
      </c>
      <c r="G45">
        <v>0.12923796713571331</v>
      </c>
      <c r="H45">
        <v>7.4228047218762486E-2</v>
      </c>
    </row>
    <row r="46" spans="1:8" x14ac:dyDescent="0.35">
      <c r="A46" s="30"/>
      <c r="B46" s="3" t="s">
        <v>12</v>
      </c>
      <c r="C46">
        <v>-1.9026518256078719</v>
      </c>
      <c r="D46">
        <v>475.88461035153438</v>
      </c>
      <c r="E46">
        <v>6.9908134164879661</v>
      </c>
      <c r="F46">
        <v>15.99674658173717</v>
      </c>
      <c r="G46">
        <v>2.847538411331705E-2</v>
      </c>
      <c r="H46">
        <v>6.761266687949205E-2</v>
      </c>
    </row>
    <row r="47" spans="1:8" x14ac:dyDescent="0.35">
      <c r="A47" s="30"/>
      <c r="B47" s="3" t="s">
        <v>13</v>
      </c>
      <c r="C47">
        <v>0.1115933751267473</v>
      </c>
      <c r="D47">
        <v>8.1861324386958287</v>
      </c>
      <c r="E47">
        <v>29.942840867697551</v>
      </c>
      <c r="F47">
        <v>20.607810002201159</v>
      </c>
      <c r="G47">
        <v>4.319173925412282E-2</v>
      </c>
      <c r="H47">
        <v>8.8368533820995299E-2</v>
      </c>
    </row>
    <row r="48" spans="1:8" x14ac:dyDescent="0.35">
      <c r="A48" s="30"/>
      <c r="B48" s="3" t="s">
        <v>14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30"/>
      <c r="B49" s="3" t="s">
        <v>15</v>
      </c>
      <c r="C49">
        <v>5.7585131229415119</v>
      </c>
      <c r="D49">
        <v>1148.275141263468</v>
      </c>
      <c r="E49">
        <v>46.519767147654733</v>
      </c>
      <c r="F49">
        <v>49.460195632648897</v>
      </c>
      <c r="G49">
        <v>0.20108614922928461</v>
      </c>
      <c r="H49">
        <v>0.23092852885384119</v>
      </c>
    </row>
    <row r="50" spans="1:8" x14ac:dyDescent="0.35">
      <c r="A50" s="30" t="s">
        <v>24</v>
      </c>
      <c r="B50" s="3" t="s">
        <v>16</v>
      </c>
      <c r="C50">
        <v>3.3294674322837752</v>
      </c>
      <c r="D50">
        <v>125.6907714779469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30"/>
      <c r="B51" s="3" t="s">
        <v>9</v>
      </c>
      <c r="C51">
        <v>2.0438265270694171</v>
      </c>
      <c r="D51">
        <v>77.200301904734431</v>
      </c>
      <c r="E51">
        <v>4.1143122373980968E-2</v>
      </c>
      <c r="F51">
        <v>2.3991039673759679E-2</v>
      </c>
      <c r="G51">
        <v>1.8105872613143241E-4</v>
      </c>
      <c r="H51">
        <v>7.1928093459131762E-4</v>
      </c>
    </row>
    <row r="52" spans="1:8" x14ac:dyDescent="0.35">
      <c r="A52" s="30"/>
      <c r="B52" s="3" t="s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30"/>
      <c r="B53" s="3" t="s">
        <v>11</v>
      </c>
      <c r="C53">
        <v>0.85226113800786452</v>
      </c>
      <c r="D53">
        <v>165.9937121767222</v>
      </c>
      <c r="E53">
        <v>3.368812849798319</v>
      </c>
      <c r="F53">
        <v>4.528816944365933</v>
      </c>
      <c r="G53">
        <v>4.561340016554586E-2</v>
      </c>
      <c r="H53">
        <v>2.6198134312504409E-2</v>
      </c>
    </row>
    <row r="54" spans="1:8" x14ac:dyDescent="0.35">
      <c r="A54" s="30"/>
      <c r="B54" s="3" t="s">
        <v>12</v>
      </c>
      <c r="C54">
        <v>-0.66923304909686498</v>
      </c>
      <c r="D54">
        <v>168.0457665202286</v>
      </c>
      <c r="E54">
        <v>2.467345911701635</v>
      </c>
      <c r="F54">
        <v>5.6459105582601774</v>
      </c>
      <c r="G54">
        <v>1.0050135569406021E-2</v>
      </c>
      <c r="H54">
        <v>2.38632941927619E-2</v>
      </c>
    </row>
    <row r="55" spans="1:8" x14ac:dyDescent="0.35">
      <c r="A55" s="30"/>
      <c r="B55" s="3" t="s">
        <v>13</v>
      </c>
      <c r="C55">
        <v>0.51566672475207764</v>
      </c>
      <c r="D55">
        <v>38.009332148278929</v>
      </c>
      <c r="E55">
        <v>139.73325738258859</v>
      </c>
      <c r="F55">
        <v>96.169780010272106</v>
      </c>
      <c r="G55">
        <v>0.20156144985257321</v>
      </c>
      <c r="H55">
        <v>0.41238649116464471</v>
      </c>
    </row>
    <row r="56" spans="1:8" x14ac:dyDescent="0.35">
      <c r="A56" s="30"/>
      <c r="B56" s="3" t="s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30"/>
      <c r="B57" s="3" t="s">
        <v>15</v>
      </c>
      <c r="C57">
        <v>5.8367597721468814</v>
      </c>
      <c r="D57">
        <v>566.05975093494794</v>
      </c>
      <c r="E57">
        <v>145.6105592664625</v>
      </c>
      <c r="F57">
        <v>106.36849855257201</v>
      </c>
      <c r="G57">
        <v>0.25740604431365638</v>
      </c>
      <c r="H57">
        <v>0.46316720060450228</v>
      </c>
    </row>
    <row r="58" spans="1:8" x14ac:dyDescent="0.35">
      <c r="A58" s="30" t="s">
        <v>21</v>
      </c>
      <c r="B58" s="3" t="s">
        <v>16</v>
      </c>
      <c r="C58">
        <v>3.3294674322837752</v>
      </c>
      <c r="D58">
        <v>125.6907714779469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30"/>
      <c r="B59" s="3" t="s">
        <v>9</v>
      </c>
      <c r="C59">
        <v>2.0438265270694171</v>
      </c>
      <c r="D59">
        <v>77.200301904734431</v>
      </c>
      <c r="E59">
        <v>4.1143122373980968E-2</v>
      </c>
      <c r="F59">
        <v>2.3991039673759679E-2</v>
      </c>
      <c r="G59">
        <v>1.8105872613143241E-4</v>
      </c>
      <c r="H59">
        <v>7.1928093459131762E-4</v>
      </c>
    </row>
    <row r="60" spans="1:8" x14ac:dyDescent="0.35">
      <c r="A60" s="30"/>
      <c r="B60" s="3" t="s">
        <v>10</v>
      </c>
      <c r="C60">
        <v>6.15007865612061</v>
      </c>
      <c r="D60">
        <v>445.71000025985319</v>
      </c>
      <c r="E60">
        <v>105.91806890516369</v>
      </c>
      <c r="F60">
        <v>23.900454078578971</v>
      </c>
      <c r="G60">
        <v>2.8540038478928449</v>
      </c>
      <c r="H60">
        <v>0.1841201371108854</v>
      </c>
    </row>
    <row r="61" spans="1:8" x14ac:dyDescent="0.35">
      <c r="A61" s="30"/>
      <c r="B61" s="3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30"/>
      <c r="B62" s="3" t="s">
        <v>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30"/>
      <c r="B63" s="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30"/>
      <c r="B64" s="3" t="s">
        <v>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30"/>
      <c r="B65" s="3" t="s">
        <v>15</v>
      </c>
      <c r="C65">
        <v>11.288143614604421</v>
      </c>
      <c r="D65">
        <v>639.72094034957126</v>
      </c>
      <c r="E65">
        <v>105.9592120275377</v>
      </c>
      <c r="F65">
        <v>23.924445118252731</v>
      </c>
      <c r="G65">
        <v>2.8541849066189768</v>
      </c>
      <c r="H65">
        <v>0.18483941804547671</v>
      </c>
    </row>
    <row r="66" spans="1:8" x14ac:dyDescent="0.35">
      <c r="A66" s="30" t="s">
        <v>22</v>
      </c>
      <c r="B66" s="3" t="s">
        <v>16</v>
      </c>
      <c r="C66">
        <v>3.3294674322837752</v>
      </c>
      <c r="D66">
        <v>125.6907714779469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30"/>
      <c r="B67" s="3" t="s">
        <v>9</v>
      </c>
      <c r="C67">
        <v>2.0438265270694171</v>
      </c>
      <c r="D67">
        <v>77.200301904734431</v>
      </c>
      <c r="E67">
        <v>4.1143122373980968E-2</v>
      </c>
      <c r="F67">
        <v>2.3991039673759679E-2</v>
      </c>
      <c r="G67">
        <v>1.8105872613143241E-4</v>
      </c>
      <c r="H67">
        <v>7.1928093459131762E-4</v>
      </c>
    </row>
    <row r="68" spans="1:8" x14ac:dyDescent="0.35">
      <c r="A68" s="30"/>
      <c r="B68" s="3" t="s">
        <v>10</v>
      </c>
      <c r="C68">
        <v>2.3275730856224419E-2</v>
      </c>
      <c r="D68">
        <v>120.5005305843884</v>
      </c>
      <c r="E68">
        <v>136.57542851653599</v>
      </c>
      <c r="F68">
        <v>33.474333674423022</v>
      </c>
      <c r="G68">
        <v>0.2368088109987195</v>
      </c>
      <c r="H68">
        <v>6.4564651027356507E-2</v>
      </c>
    </row>
    <row r="69" spans="1:8" x14ac:dyDescent="0.35">
      <c r="A69" s="30"/>
      <c r="B69" s="3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30"/>
      <c r="B70" s="3" t="s">
        <v>12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30"/>
      <c r="B71" s="3" t="s">
        <v>13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30"/>
      <c r="B72" s="3" t="s">
        <v>14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30"/>
      <c r="B73" s="3" t="s">
        <v>15</v>
      </c>
      <c r="C73">
        <v>5.1613406893400287</v>
      </c>
      <c r="D73">
        <v>314.51147067410648</v>
      </c>
      <c r="E73">
        <v>136.61657163890999</v>
      </c>
      <c r="F73">
        <v>33.498324714096782</v>
      </c>
      <c r="G73">
        <v>0.23698986972485089</v>
      </c>
      <c r="H73">
        <v>6.528393196194783E-2</v>
      </c>
    </row>
  </sheetData>
  <mergeCells count="10">
    <mergeCell ref="K1:P1"/>
    <mergeCell ref="A50:A57"/>
    <mergeCell ref="A58:A65"/>
    <mergeCell ref="A66:A73"/>
    <mergeCell ref="A2:A9"/>
    <mergeCell ref="A10:A17"/>
    <mergeCell ref="A18:A25"/>
    <mergeCell ref="A26:A33"/>
    <mergeCell ref="A34:A41"/>
    <mergeCell ref="A42:A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E446-142C-5544-B117-E983E3450469}">
  <dimension ref="A1:P73"/>
  <sheetViews>
    <sheetView workbookViewId="0">
      <selection activeCell="C2" sqref="C2"/>
    </sheetView>
  </sheetViews>
  <sheetFormatPr baseColWidth="10" defaultColWidth="9.1796875" defaultRowHeight="14.5" x14ac:dyDescent="0.35"/>
  <cols>
    <col min="1" max="1" width="15.1796875" bestFit="1" customWidth="1"/>
    <col min="10" max="10" width="15" bestFit="1" customWidth="1"/>
    <col min="11" max="11" width="5.453125" bestFit="1" customWidth="1"/>
    <col min="12" max="12" width="5.26953125" customWidth="1"/>
    <col min="13" max="13" width="6.453125" customWidth="1"/>
    <col min="14" max="14" width="6.26953125" customWidth="1"/>
    <col min="15" max="15" width="4.7265625" bestFit="1" customWidth="1"/>
    <col min="16" max="16" width="4.81640625" bestFit="1" customWidth="1"/>
  </cols>
  <sheetData>
    <row r="1" spans="1:16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K1" s="29" t="s">
        <v>29</v>
      </c>
      <c r="L1" s="29"/>
      <c r="M1" s="29"/>
      <c r="N1" s="29"/>
      <c r="O1" s="29"/>
      <c r="P1" s="29"/>
    </row>
    <row r="2" spans="1:16" x14ac:dyDescent="0.35">
      <c r="A2" s="30" t="s">
        <v>8</v>
      </c>
      <c r="B2" s="3" t="s">
        <v>16</v>
      </c>
      <c r="C2" s="4">
        <f>'REMIND SSP2-RCP2.6'!C2/'REMIND SSP2-RCP2.6 (GDP)'!K$14*'REMIND SSP2-RCP2.6 (GDP)'!K$13</f>
        <v>1.0332829962259993</v>
      </c>
      <c r="D2" s="4">
        <f>'REMIND SSP2-RCP2.6'!D2/'REMIND SSP2-RCP2.6 (GDP)'!L$14*'REMIND SSP2-RCP2.6 (GDP)'!L$13</f>
        <v>0.5200997440466768</v>
      </c>
      <c r="E2" s="4">
        <f>'REMIND SSP2-RCP2.6'!E2/'REMIND SSP2-RCP2.6 (GDP)'!M$14*'REMIND SSP2-RCP2.6 (GDP)'!M$13</f>
        <v>0</v>
      </c>
      <c r="F2" s="4">
        <f>'REMIND SSP2-RCP2.6'!F2/'REMIND SSP2-RCP2.6 (GDP)'!N$14*'REMIND SSP2-RCP2.6 (GDP)'!N$13</f>
        <v>0</v>
      </c>
      <c r="G2" s="4">
        <f>'REMIND SSP2-RCP2.6'!G2/'REMIND SSP2-RCP2.6 (GDP)'!O$14*'REMIND SSP2-RCP2.6 (GDP)'!O$13</f>
        <v>0</v>
      </c>
      <c r="H2" s="4">
        <f>'REMIND SSP2-RCP2.6'!H2/'REMIND SSP2-RCP2.6 (GDP)'!P$14*'REMIND SSP2-RCP2.6 (GDP)'!P$13</f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3" t="s">
        <v>9</v>
      </c>
      <c r="C3" s="4">
        <f>'REMIND SSP2-RCP2.6'!C3/'REMIND SSP2-RCP2.6 (GDP)'!K$14*'REMIND SSP2-RCP2.6 (GDP)'!K$13</f>
        <v>1.5860050202292983</v>
      </c>
      <c r="D3" s="4">
        <f>'REMIND SSP2-RCP2.6'!D3/'REMIND SSP2-RCP2.6 (GDP)'!L$14*'REMIND SSP2-RCP2.6 (GDP)'!L$13</f>
        <v>0.81982290236738264</v>
      </c>
      <c r="E3" s="4">
        <f>'REMIND SSP2-RCP2.6'!E3/'REMIND SSP2-RCP2.6 (GDP)'!M$14*'REMIND SSP2-RCP2.6 (GDP)'!M$13</f>
        <v>4.1452715853272808E-2</v>
      </c>
      <c r="F3" s="4">
        <f>'REMIND SSP2-RCP2.6'!F3/'REMIND SSP2-RCP2.6 (GDP)'!N$14*'REMIND SSP2-RCP2.6 (GDP)'!N$13</f>
        <v>2.1502217639670688E-3</v>
      </c>
      <c r="G3" s="4">
        <f>'REMIND SSP2-RCP2.6'!G3/'REMIND SSP2-RCP2.6 (GDP)'!O$14*'REMIND SSP2-RCP2.6 (GDP)'!O$13</f>
        <v>1.0386724232031181E-2</v>
      </c>
      <c r="H3" s="4">
        <f>'REMIND SSP2-RCP2.6'!H3/'REMIND SSP2-RCP2.6 (GDP)'!P$14*'REMIND SSP2-RCP2.6 (GDP)'!P$13</f>
        <v>1.0505226837095564E-2</v>
      </c>
      <c r="J3" s="5" t="s">
        <v>25</v>
      </c>
      <c r="K3" s="7">
        <f>C17/C9</f>
        <v>0.92103319538740613</v>
      </c>
      <c r="L3" s="7">
        <f t="shared" ref="L3:P3" si="0">D17/D9</f>
        <v>1.2820593085792942</v>
      </c>
      <c r="M3" s="7">
        <f t="shared" si="0"/>
        <v>5.6913815831320047</v>
      </c>
      <c r="N3" s="7">
        <f t="shared" si="0"/>
        <v>6.6704607343009092</v>
      </c>
      <c r="O3" s="7">
        <f t="shared" si="0"/>
        <v>5.529666597001337</v>
      </c>
      <c r="P3" s="7">
        <f t="shared" si="0"/>
        <v>1.5383400436559223</v>
      </c>
    </row>
    <row r="4" spans="1:16" x14ac:dyDescent="0.35">
      <c r="A4" s="30"/>
      <c r="B4" s="3" t="s">
        <v>10</v>
      </c>
      <c r="C4" s="4">
        <f>'REMIND SSP2-RCP2.6'!C4/'REMIND SSP2-RCP2.6 (GDP)'!K$14*'REMIND SSP2-RCP2.6 (GDP)'!K$13</f>
        <v>0</v>
      </c>
      <c r="D4" s="4">
        <f>'REMIND SSP2-RCP2.6'!D4/'REMIND SSP2-RCP2.6 (GDP)'!L$14*'REMIND SSP2-RCP2.6 (GDP)'!L$13</f>
        <v>0</v>
      </c>
      <c r="E4" s="4">
        <f>'REMIND SSP2-RCP2.6'!E4/'REMIND SSP2-RCP2.6 (GDP)'!M$14*'REMIND SSP2-RCP2.6 (GDP)'!M$13</f>
        <v>0</v>
      </c>
      <c r="F4" s="4">
        <f>'REMIND SSP2-RCP2.6'!F4/'REMIND SSP2-RCP2.6 (GDP)'!N$14*'REMIND SSP2-RCP2.6 (GDP)'!N$13</f>
        <v>0</v>
      </c>
      <c r="G4" s="4">
        <f>'REMIND SSP2-RCP2.6'!G4/'REMIND SSP2-RCP2.6 (GDP)'!O$14*'REMIND SSP2-RCP2.6 (GDP)'!O$13</f>
        <v>0</v>
      </c>
      <c r="H4" s="4">
        <f>'REMIND SSP2-RCP2.6'!H4/'REMIND SSP2-RCP2.6 (GDP)'!P$14*'REMIND SSP2-RCP2.6 (GDP)'!P$13</f>
        <v>0</v>
      </c>
      <c r="J4" s="5" t="s">
        <v>26</v>
      </c>
      <c r="K4" s="7">
        <f>C25/C9</f>
        <v>0.74249458750375041</v>
      </c>
      <c r="L4" s="7">
        <f t="shared" ref="L4:P4" si="1">D25/D9</f>
        <v>1.7549149447598975</v>
      </c>
      <c r="M4" s="7">
        <f t="shared" si="1"/>
        <v>13.297707522786734</v>
      </c>
      <c r="N4" s="7">
        <f t="shared" si="1"/>
        <v>16.803399541350998</v>
      </c>
      <c r="O4" s="7">
        <f t="shared" si="1"/>
        <v>12.577169393743429</v>
      </c>
      <c r="P4" s="7">
        <f t="shared" si="1"/>
        <v>2.5284198168778587</v>
      </c>
    </row>
    <row r="5" spans="1:16" x14ac:dyDescent="0.35">
      <c r="A5" s="30"/>
      <c r="B5" s="3" t="s">
        <v>11</v>
      </c>
      <c r="C5" s="4">
        <f>'REMIND SSP2-RCP2.6'!C5/'REMIND SSP2-RCP2.6 (GDP)'!K$14*'REMIND SSP2-RCP2.6 (GDP)'!K$13</f>
        <v>0</v>
      </c>
      <c r="D5" s="4">
        <f>'REMIND SSP2-RCP2.6'!D5/'REMIND SSP2-RCP2.6 (GDP)'!L$14*'REMIND SSP2-RCP2.6 (GDP)'!L$13</f>
        <v>0</v>
      </c>
      <c r="E5" s="4">
        <f>'REMIND SSP2-RCP2.6'!E5/'REMIND SSP2-RCP2.6 (GDP)'!M$14*'REMIND SSP2-RCP2.6 (GDP)'!M$13</f>
        <v>0</v>
      </c>
      <c r="F5" s="4">
        <f>'REMIND SSP2-RCP2.6'!F5/'REMIND SSP2-RCP2.6 (GDP)'!N$14*'REMIND SSP2-RCP2.6 (GDP)'!N$13</f>
        <v>0</v>
      </c>
      <c r="G5" s="4">
        <f>'REMIND SSP2-RCP2.6'!G5/'REMIND SSP2-RCP2.6 (GDP)'!O$14*'REMIND SSP2-RCP2.6 (GDP)'!O$13</f>
        <v>0</v>
      </c>
      <c r="H5" s="4">
        <f>'REMIND SSP2-RCP2.6'!H5/'REMIND SSP2-RCP2.6 (GDP)'!P$14*'REMIND SSP2-RCP2.6 (GDP)'!P$13</f>
        <v>0</v>
      </c>
      <c r="J5" s="5" t="s">
        <v>28</v>
      </c>
      <c r="K5" s="7">
        <f>C33/C9</f>
        <v>0.61367521658597268</v>
      </c>
      <c r="L5" s="7">
        <f t="shared" ref="L5:P5" si="2">D33/D9</f>
        <v>1.5490499556701098</v>
      </c>
      <c r="M5" s="7">
        <f t="shared" si="2"/>
        <v>19.871442015804849</v>
      </c>
      <c r="N5" s="7">
        <f t="shared" si="2"/>
        <v>16.444805093690341</v>
      </c>
      <c r="O5" s="7">
        <f t="shared" si="2"/>
        <v>21.126568454091696</v>
      </c>
      <c r="P5" s="7">
        <f t="shared" si="2"/>
        <v>2.2264248802361011</v>
      </c>
    </row>
    <row r="6" spans="1:16" x14ac:dyDescent="0.35">
      <c r="A6" s="30"/>
      <c r="B6" s="3" t="s">
        <v>12</v>
      </c>
      <c r="C6" s="4">
        <f>'REMIND SSP2-RCP2.6'!C6/'REMIND SSP2-RCP2.6 (GDP)'!K$14*'REMIND SSP2-RCP2.6 (GDP)'!K$13</f>
        <v>0</v>
      </c>
      <c r="D6" s="4">
        <f>'REMIND SSP2-RCP2.6'!D6/'REMIND SSP2-RCP2.6 (GDP)'!L$14*'REMIND SSP2-RCP2.6 (GDP)'!L$13</f>
        <v>0</v>
      </c>
      <c r="E6" s="4">
        <f>'REMIND SSP2-RCP2.6'!E6/'REMIND SSP2-RCP2.6 (GDP)'!M$14*'REMIND SSP2-RCP2.6 (GDP)'!M$13</f>
        <v>0</v>
      </c>
      <c r="F6" s="4">
        <f>'REMIND SSP2-RCP2.6'!F6/'REMIND SSP2-RCP2.6 (GDP)'!N$14*'REMIND SSP2-RCP2.6 (GDP)'!N$13</f>
        <v>0</v>
      </c>
      <c r="G6" s="4">
        <f>'REMIND SSP2-RCP2.6'!G6/'REMIND SSP2-RCP2.6 (GDP)'!O$14*'REMIND SSP2-RCP2.6 (GDP)'!O$13</f>
        <v>0</v>
      </c>
      <c r="H6" s="4">
        <f>'REMIND SSP2-RCP2.6'!H6/'REMIND SSP2-RCP2.6 (GDP)'!P$14*'REMIND SSP2-RCP2.6 (GDP)'!P$13</f>
        <v>0</v>
      </c>
      <c r="J6" s="5" t="s">
        <v>27</v>
      </c>
      <c r="K6" s="7">
        <f>C41/C9</f>
        <v>0.7737652412984023</v>
      </c>
      <c r="L6" s="7">
        <f t="shared" ref="L6:P6" si="3">D41/D9</f>
        <v>1.5228033483446026</v>
      </c>
      <c r="M6" s="7">
        <f t="shared" si="3"/>
        <v>13.913331993043665</v>
      </c>
      <c r="N6" s="7">
        <f t="shared" si="3"/>
        <v>13.083277409675841</v>
      </c>
      <c r="O6" s="7">
        <f t="shared" si="3"/>
        <v>14.581523523271759</v>
      </c>
      <c r="P6" s="7">
        <f t="shared" si="3"/>
        <v>2.0417559730124579</v>
      </c>
    </row>
    <row r="7" spans="1:16" x14ac:dyDescent="0.35">
      <c r="A7" s="30"/>
      <c r="B7" s="3" t="s">
        <v>13</v>
      </c>
      <c r="C7" s="4">
        <f>'REMIND SSP2-RCP2.6'!C7/'REMIND SSP2-RCP2.6 (GDP)'!K$14*'REMIND SSP2-RCP2.6 (GDP)'!K$13</f>
        <v>0</v>
      </c>
      <c r="D7" s="4">
        <f>'REMIND SSP2-RCP2.6'!D7/'REMIND SSP2-RCP2.6 (GDP)'!L$14*'REMIND SSP2-RCP2.6 (GDP)'!L$13</f>
        <v>0</v>
      </c>
      <c r="E7" s="4">
        <f>'REMIND SSP2-RCP2.6'!E7/'REMIND SSP2-RCP2.6 (GDP)'!M$14*'REMIND SSP2-RCP2.6 (GDP)'!M$13</f>
        <v>0</v>
      </c>
      <c r="F7" s="4">
        <f>'REMIND SSP2-RCP2.6'!F7/'REMIND SSP2-RCP2.6 (GDP)'!N$14*'REMIND SSP2-RCP2.6 (GDP)'!N$13</f>
        <v>0</v>
      </c>
      <c r="G7" s="4">
        <f>'REMIND SSP2-RCP2.6'!G7/'REMIND SSP2-RCP2.6 (GDP)'!O$14*'REMIND SSP2-RCP2.6 (GDP)'!O$13</f>
        <v>0</v>
      </c>
      <c r="H7" s="4">
        <f>'REMIND SSP2-RCP2.6'!H7/'REMIND SSP2-RCP2.6 (GDP)'!P$14*'REMIND SSP2-RCP2.6 (GDP)'!P$13</f>
        <v>0</v>
      </c>
      <c r="J7" s="5" t="s">
        <v>23</v>
      </c>
      <c r="K7" s="7">
        <f>C49/C9</f>
        <v>0.41853820411494386</v>
      </c>
      <c r="L7" s="7">
        <f t="shared" ref="L7:P7" si="4">D49/D9</f>
        <v>2.1927515736571093</v>
      </c>
      <c r="M7" s="7">
        <f t="shared" si="4"/>
        <v>16.470489912266672</v>
      </c>
      <c r="N7" s="7">
        <f t="shared" si="4"/>
        <v>28.027915229854436</v>
      </c>
      <c r="O7" s="7">
        <f t="shared" si="4"/>
        <v>13.306708772186939</v>
      </c>
      <c r="P7" s="7">
        <f t="shared" si="4"/>
        <v>3.8150036558227725</v>
      </c>
    </row>
    <row r="8" spans="1:16" x14ac:dyDescent="0.35">
      <c r="A8" s="30"/>
      <c r="B8" s="3" t="s">
        <v>14</v>
      </c>
      <c r="C8" s="4">
        <f>'REMIND SSP2-RCP2.6'!C8/'REMIND SSP2-RCP2.6 (GDP)'!K$14*'REMIND SSP2-RCP2.6 (GDP)'!K$13</f>
        <v>0</v>
      </c>
      <c r="D8" s="4">
        <f>'REMIND SSP2-RCP2.6'!D8/'REMIND SSP2-RCP2.6 (GDP)'!L$14*'REMIND SSP2-RCP2.6 (GDP)'!L$13</f>
        <v>0</v>
      </c>
      <c r="E8" s="4">
        <f>'REMIND SSP2-RCP2.6'!E8/'REMIND SSP2-RCP2.6 (GDP)'!M$14*'REMIND SSP2-RCP2.6 (GDP)'!M$13</f>
        <v>0</v>
      </c>
      <c r="F8" s="4">
        <f>'REMIND SSP2-RCP2.6'!F8/'REMIND SSP2-RCP2.6 (GDP)'!N$14*'REMIND SSP2-RCP2.6 (GDP)'!N$13</f>
        <v>0</v>
      </c>
      <c r="G8" s="4">
        <f>'REMIND SSP2-RCP2.6'!G8/'REMIND SSP2-RCP2.6 (GDP)'!O$14*'REMIND SSP2-RCP2.6 (GDP)'!O$13</f>
        <v>0</v>
      </c>
      <c r="H8" s="4">
        <f>'REMIND SSP2-RCP2.6'!H8/'REMIND SSP2-RCP2.6 (GDP)'!P$14*'REMIND SSP2-RCP2.6 (GDP)'!P$13</f>
        <v>0</v>
      </c>
      <c r="J8" s="5" t="s">
        <v>24</v>
      </c>
      <c r="K8" s="7">
        <f>C57/C9</f>
        <v>0.60776076983619409</v>
      </c>
      <c r="L8" s="7">
        <f t="shared" ref="L8:P8" si="5">D57/D9</f>
        <v>1.2777371718957666</v>
      </c>
      <c r="M8" s="7">
        <f t="shared" si="5"/>
        <v>27.888913700695873</v>
      </c>
      <c r="N8" s="7">
        <f t="shared" si="5"/>
        <v>38.728581111984084</v>
      </c>
      <c r="O8" s="7">
        <f t="shared" si="5"/>
        <v>15.570347777992495</v>
      </c>
      <c r="P8" s="7">
        <f t="shared" si="5"/>
        <v>6.3797537737319194</v>
      </c>
    </row>
    <row r="9" spans="1:16" x14ac:dyDescent="0.35">
      <c r="A9" s="30"/>
      <c r="B9" s="3" t="s">
        <v>15</v>
      </c>
      <c r="C9" s="4">
        <f>'REMIND SSP2-RCP2.6'!C9/'REMIND SSP2-RCP2.6 (GDP)'!K$14*'REMIND SSP2-RCP2.6 (GDP)'!K$13</f>
        <v>2.6192880164552981</v>
      </c>
      <c r="D9" s="4">
        <f>'REMIND SSP2-RCP2.6'!D9/'REMIND SSP2-RCP2.6 (GDP)'!L$14*'REMIND SSP2-RCP2.6 (GDP)'!L$13</f>
        <v>1.3399226464140594</v>
      </c>
      <c r="E9" s="4">
        <f>'REMIND SSP2-RCP2.6'!E9/'REMIND SSP2-RCP2.6 (GDP)'!M$14*'REMIND SSP2-RCP2.6 (GDP)'!M$13</f>
        <v>4.1452715853272808E-2</v>
      </c>
      <c r="F9" s="4">
        <f>'REMIND SSP2-RCP2.6'!F9/'REMIND SSP2-RCP2.6 (GDP)'!N$14*'REMIND SSP2-RCP2.6 (GDP)'!N$13</f>
        <v>2.1502217639670688E-3</v>
      </c>
      <c r="G9" s="4">
        <f>'REMIND SSP2-RCP2.6'!G9/'REMIND SSP2-RCP2.6 (GDP)'!O$14*'REMIND SSP2-RCP2.6 (GDP)'!O$13</f>
        <v>1.0386724232031181E-2</v>
      </c>
      <c r="H9" s="4">
        <f>'REMIND SSP2-RCP2.6'!H9/'REMIND SSP2-RCP2.6 (GDP)'!P$14*'REMIND SSP2-RCP2.6 (GDP)'!P$13</f>
        <v>1.0505226837095564E-2</v>
      </c>
      <c r="J9" s="5" t="s">
        <v>21</v>
      </c>
      <c r="K9" s="7">
        <f>C65/C9</f>
        <v>0.86951772971808639</v>
      </c>
      <c r="L9" s="7">
        <f t="shared" ref="L9:P9" si="6">D65/D9</f>
        <v>1.2161517873531764</v>
      </c>
      <c r="M9" s="7">
        <f t="shared" si="6"/>
        <v>22.072826964885405</v>
      </c>
      <c r="N9" s="7">
        <f t="shared" si="6"/>
        <v>8.1664379807797403</v>
      </c>
      <c r="O9" s="7">
        <f t="shared" si="6"/>
        <v>27.127517038221733</v>
      </c>
      <c r="P9" s="7">
        <f t="shared" si="6"/>
        <v>1.1330517841649705</v>
      </c>
    </row>
    <row r="10" spans="1:16" x14ac:dyDescent="0.35">
      <c r="A10" s="30" t="s">
        <v>25</v>
      </c>
      <c r="B10" s="3" t="s">
        <v>16</v>
      </c>
      <c r="C10" s="4">
        <f>'REMIND SSP2-RCP2.6'!C10/'REMIND SSP2-RCP2.6 (GDP)'!K$14*'REMIND SSP2-RCP2.6 (GDP)'!K$13</f>
        <v>1.0332829962259993</v>
      </c>
      <c r="D10" s="4">
        <f>'REMIND SSP2-RCP2.6'!D10/'REMIND SSP2-RCP2.6 (GDP)'!L$14*'REMIND SSP2-RCP2.6 (GDP)'!L$13</f>
        <v>0.5200997440466768</v>
      </c>
      <c r="E10" s="4">
        <f>'REMIND SSP2-RCP2.6'!E10/'REMIND SSP2-RCP2.6 (GDP)'!M$14*'REMIND SSP2-RCP2.6 (GDP)'!M$13</f>
        <v>0</v>
      </c>
      <c r="F10" s="4">
        <f>'REMIND SSP2-RCP2.6'!F10/'REMIND SSP2-RCP2.6 (GDP)'!N$14*'REMIND SSP2-RCP2.6 (GDP)'!N$13</f>
        <v>0</v>
      </c>
      <c r="G10" s="4">
        <f>'REMIND SSP2-RCP2.6'!G10/'REMIND SSP2-RCP2.6 (GDP)'!O$14*'REMIND SSP2-RCP2.6 (GDP)'!O$13</f>
        <v>0</v>
      </c>
      <c r="H10" s="4">
        <f>'REMIND SSP2-RCP2.6'!H10/'REMIND SSP2-RCP2.6 (GDP)'!P$14*'REMIND SSP2-RCP2.6 (GDP)'!P$13</f>
        <v>0</v>
      </c>
      <c r="J10" s="5" t="s">
        <v>22</v>
      </c>
      <c r="K10" s="7">
        <f>C73/C9</f>
        <v>0.70881057761592736</v>
      </c>
      <c r="L10" s="7">
        <f t="shared" ref="L10:P10" si="7">D73/D9</f>
        <v>1.0646553354852946</v>
      </c>
      <c r="M10" s="7">
        <f t="shared" si="7"/>
        <v>25.12131927706362</v>
      </c>
      <c r="N10" s="7">
        <f t="shared" si="7"/>
        <v>11.965254517579826</v>
      </c>
      <c r="O10" s="7">
        <f t="shared" si="7"/>
        <v>11.730952441602323</v>
      </c>
      <c r="P10" s="7">
        <f t="shared" si="7"/>
        <v>1.1332429059334839</v>
      </c>
    </row>
    <row r="11" spans="1:16" x14ac:dyDescent="0.35">
      <c r="A11" s="30"/>
      <c r="B11" s="3" t="s">
        <v>9</v>
      </c>
      <c r="C11" s="4">
        <f>'REMIND SSP2-RCP2.6'!C11/'REMIND SSP2-RCP2.6 (GDP)'!K$14*'REMIND SSP2-RCP2.6 (GDP)'!K$13</f>
        <v>1.3897137405362328</v>
      </c>
      <c r="D11" s="4">
        <f>'REMIND SSP2-RCP2.6'!D11/'REMIND SSP2-RCP2.6 (GDP)'!L$14*'REMIND SSP2-RCP2.6 (GDP)'!L$13</f>
        <v>0.71521628187072961</v>
      </c>
      <c r="E11" s="4">
        <f>'REMIND SSP2-RCP2.6'!E11/'REMIND SSP2-RCP2.6 (GDP)'!M$14*'REMIND SSP2-RCP2.6 (GDP)'!M$13</f>
        <v>3.0268748096915068E-2</v>
      </c>
      <c r="F11" s="4">
        <f>'REMIND SSP2-RCP2.6'!F11/'REMIND SSP2-RCP2.6 (GDP)'!N$14*'REMIND SSP2-RCP2.6 (GDP)'!N$13</f>
        <v>1.5700906342638338E-3</v>
      </c>
      <c r="G11" s="4">
        <f>'REMIND SSP2-RCP2.6'!G11/'REMIND SSP2-RCP2.6 (GDP)'!O$14*'REMIND SSP2-RCP2.6 (GDP)'!O$13</f>
        <v>7.5843797652320301E-3</v>
      </c>
      <c r="H11" s="4">
        <f>'REMIND SSP2-RCP2.6'!H11/'REMIND SSP2-RCP2.6 (GDP)'!P$14*'REMIND SSP2-RCP2.6 (GDP)'!P$13</f>
        <v>7.6709102959267739E-3</v>
      </c>
    </row>
    <row r="12" spans="1:16" x14ac:dyDescent="0.35">
      <c r="A12" s="30"/>
      <c r="B12" s="3" t="s">
        <v>10</v>
      </c>
      <c r="C12" s="4">
        <f>'REMIND SSP2-RCP2.6'!C12/'REMIND SSP2-RCP2.6 (GDP)'!K$14*'REMIND SSP2-RCP2.6 (GDP)'!K$13</f>
        <v>5.6802880191319766E-2</v>
      </c>
      <c r="D12" s="4">
        <f>'REMIND SSP2-RCP2.6'!D12/'REMIND SSP2-RCP2.6 (GDP)'!L$14*'REMIND SSP2-RCP2.6 (GDP)'!L$13</f>
        <v>6.9733030317606998E-2</v>
      </c>
      <c r="E12" s="4">
        <f>'REMIND SSP2-RCP2.6'!E12/'REMIND SSP2-RCP2.6 (GDP)'!M$14*'REMIND SSP2-RCP2.6 (GDP)'!M$13</f>
        <v>7.7909307093558144E-2</v>
      </c>
      <c r="F12" s="4">
        <f>'REMIND SSP2-RCP2.6'!F12/'REMIND SSP2-RCP2.6 (GDP)'!N$14*'REMIND SSP2-RCP2.6 (GDP)'!N$13</f>
        <v>1.4940821600465137E-3</v>
      </c>
      <c r="G12" s="4">
        <f>'REMIND SSP2-RCP2.6'!G12/'REMIND SSP2-RCP2.6 (GDP)'!O$14*'REMIND SSP2-RCP2.6 (GDP)'!O$13</f>
        <v>2.3993965075696441E-2</v>
      </c>
      <c r="H12" s="4">
        <f>'REMIND SSP2-RCP2.6'!H12/'REMIND SSP2-RCP2.6 (GDP)'!P$14*'REMIND SSP2-RCP2.6 (GDP)'!P$13</f>
        <v>1.0054253548465815E-3</v>
      </c>
      <c r="J12" t="s">
        <v>33</v>
      </c>
      <c r="K12" s="3" t="s">
        <v>2</v>
      </c>
      <c r="L12" s="3" t="s">
        <v>3</v>
      </c>
      <c r="M12" s="3" t="s">
        <v>4</v>
      </c>
      <c r="N12" s="3" t="s">
        <v>5</v>
      </c>
      <c r="O12" s="3" t="s">
        <v>6</v>
      </c>
      <c r="P12" s="3" t="s">
        <v>7</v>
      </c>
    </row>
    <row r="13" spans="1:16" x14ac:dyDescent="0.35">
      <c r="A13" s="30"/>
      <c r="B13" s="3" t="s">
        <v>11</v>
      </c>
      <c r="C13" s="4">
        <f>'REMIND SSP2-RCP2.6'!C13/'REMIND SSP2-RCP2.6 (GDP)'!K$14*'REMIND SSP2-RCP2.6 (GDP)'!K$13</f>
        <v>2.0423276456442742E-3</v>
      </c>
      <c r="D13" s="4">
        <f>'REMIND SSP2-RCP2.6'!D13/'REMIND SSP2-RCP2.6 (GDP)'!L$14*'REMIND SSP2-RCP2.6 (GDP)'!L$13</f>
        <v>1.9114710664021786E-2</v>
      </c>
      <c r="E13" s="4">
        <f>'REMIND SSP2-RCP2.6'!E13/'REMIND SSP2-RCP2.6 (GDP)'!M$14*'REMIND SSP2-RCP2.6 (GDP)'!M$13</f>
        <v>7.6304732092872571E-2</v>
      </c>
      <c r="F13" s="4">
        <f>'REMIND SSP2-RCP2.6'!F13/'REMIND SSP2-RCP2.6 (GDP)'!N$14*'REMIND SSP2-RCP2.6 (GDP)'!N$13</f>
        <v>6.358428426413351E-3</v>
      </c>
      <c r="G13" s="4">
        <f>'REMIND SSP2-RCP2.6'!G13/'REMIND SSP2-RCP2.6 (GDP)'!O$14*'REMIND SSP2-RCP2.6 (GDP)'!O$13</f>
        <v>1.6713199901417727E-2</v>
      </c>
      <c r="H13" s="4">
        <f>'REMIND SSP2-RCP2.6'!H13/'REMIND SSP2-RCP2.6 (GDP)'!P$14*'REMIND SSP2-RCP2.6 (GDP)'!P$13</f>
        <v>3.3352500657035963E-3</v>
      </c>
      <c r="J13" t="s">
        <v>34</v>
      </c>
      <c r="K13" s="15">
        <v>0.9</v>
      </c>
      <c r="L13" s="15">
        <v>1.2E-2</v>
      </c>
      <c r="M13" s="15">
        <v>0.02</v>
      </c>
      <c r="N13" s="15">
        <v>2E-3</v>
      </c>
      <c r="O13" s="15">
        <v>2.2000000000000002</v>
      </c>
      <c r="P13" s="15">
        <v>0.4</v>
      </c>
    </row>
    <row r="14" spans="1:16" x14ac:dyDescent="0.35">
      <c r="A14" s="30"/>
      <c r="B14" s="3" t="s">
        <v>12</v>
      </c>
      <c r="C14" s="4">
        <f>'REMIND SSP2-RCP2.6'!C14/'REMIND SSP2-RCP2.6 (GDP)'!K$14*'REMIND SSP2-RCP2.6 (GDP)'!K$13</f>
        <v>-7.2849200020562291E-2</v>
      </c>
      <c r="D14" s="4">
        <f>'REMIND SSP2-RCP2.6'!D14/'REMIND SSP2-RCP2.6 (GDP)'!L$14*'REMIND SSP2-RCP2.6 (GDP)'!L$13</f>
        <v>0.38898589458702254</v>
      </c>
      <c r="E14" s="4">
        <f>'REMIND SSP2-RCP2.6'!E14/'REMIND SSP2-RCP2.6 (GDP)'!M$14*'REMIND SSP2-RCP2.6 (GDP)'!M$13</f>
        <v>1.1736638688394608E-2</v>
      </c>
      <c r="F14" s="4">
        <f>'REMIND SSP2-RCP2.6'!F14/'REMIND SSP2-RCP2.6 (GDP)'!N$14*'REMIND SSP2-RCP2.6 (GDP)'!N$13</f>
        <v>2.2299800035182095E-3</v>
      </c>
      <c r="G14" s="4">
        <f>'REMIND SSP2-RCP2.6'!G14/'REMIND SSP2-RCP2.6 (GDP)'!O$14*'REMIND SSP2-RCP2.6 (GDP)'!O$13</f>
        <v>4.244662195228714E-3</v>
      </c>
      <c r="H14" s="4">
        <f>'REMIND SSP2-RCP2.6'!H14/'REMIND SSP2-RCP2.6 (GDP)'!P$14*'REMIND SSP2-RCP2.6 (GDP)'!P$13</f>
        <v>1.8570609379191284E-3</v>
      </c>
      <c r="J14" t="s">
        <v>35</v>
      </c>
      <c r="K14" s="15">
        <v>2.9</v>
      </c>
      <c r="L14" s="15">
        <v>2.9</v>
      </c>
      <c r="M14" s="15">
        <v>2.9</v>
      </c>
      <c r="N14" s="15">
        <v>2.9</v>
      </c>
      <c r="O14" s="15">
        <v>2.9</v>
      </c>
      <c r="P14" s="15">
        <v>2.9</v>
      </c>
    </row>
    <row r="15" spans="1:16" x14ac:dyDescent="0.35">
      <c r="A15" s="30"/>
      <c r="B15" s="3" t="s">
        <v>13</v>
      </c>
      <c r="C15" s="4">
        <f>'REMIND SSP2-RCP2.6'!C15/'REMIND SSP2-RCP2.6 (GDP)'!K$14*'REMIND SSP2-RCP2.6 (GDP)'!K$13</f>
        <v>3.4584668571303032E-3</v>
      </c>
      <c r="D15" s="4">
        <f>'REMIND SSP2-RCP2.6'!D15/'REMIND SSP2-RCP2.6 (GDP)'!L$14*'REMIND SSP2-RCP2.6 (GDP)'!L$13</f>
        <v>4.7106401252896462E-3</v>
      </c>
      <c r="E15" s="4">
        <f>'REMIND SSP2-RCP2.6'!E15/'REMIND SSP2-RCP2.6 (GDP)'!M$14*'REMIND SSP2-RCP2.6 (GDP)'!M$13</f>
        <v>3.9703797606380625E-2</v>
      </c>
      <c r="F15" s="4">
        <f>'REMIND SSP2-RCP2.6'!F15/'REMIND SSP2-RCP2.6 (GDP)'!N$14*'REMIND SSP2-RCP2.6 (GDP)'!N$13</f>
        <v>2.6903886223396596E-3</v>
      </c>
      <c r="G15" s="4">
        <f>'REMIND SSP2-RCP2.6'!G15/'REMIND SSP2-RCP2.6 (GDP)'!O$14*'REMIND SSP2-RCP2.6 (GDP)'!O$13</f>
        <v>4.8989151005522759E-3</v>
      </c>
      <c r="H15" s="4">
        <f>'REMIND SSP2-RCP2.6'!H15/'REMIND SSP2-RCP2.6 (GDP)'!P$14*'REMIND SSP2-RCP2.6 (GDP)'!P$13</f>
        <v>2.2919644567968764E-3</v>
      </c>
    </row>
    <row r="16" spans="1:16" x14ac:dyDescent="0.35">
      <c r="A16" s="30"/>
      <c r="B16" s="3" t="s">
        <v>14</v>
      </c>
      <c r="C16" s="4">
        <f>'REMIND SSP2-RCP2.6'!C16/'REMIND SSP2-RCP2.6 (GDP)'!K$14*'REMIND SSP2-RCP2.6 (GDP)'!K$13</f>
        <v>0</v>
      </c>
      <c r="D16" s="4">
        <f>'REMIND SSP2-RCP2.6'!D16/'REMIND SSP2-RCP2.6 (GDP)'!L$14*'REMIND SSP2-RCP2.6 (GDP)'!L$13</f>
        <v>0</v>
      </c>
      <c r="E16" s="4">
        <f>'REMIND SSP2-RCP2.6'!E16/'REMIND SSP2-RCP2.6 (GDP)'!M$14*'REMIND SSP2-RCP2.6 (GDP)'!M$13</f>
        <v>0</v>
      </c>
      <c r="F16" s="4">
        <f>'REMIND SSP2-RCP2.6'!F16/'REMIND SSP2-RCP2.6 (GDP)'!N$14*'REMIND SSP2-RCP2.6 (GDP)'!N$13</f>
        <v>0</v>
      </c>
      <c r="G16" s="4">
        <f>'REMIND SSP2-RCP2.6'!G16/'REMIND SSP2-RCP2.6 (GDP)'!O$14*'REMIND SSP2-RCP2.6 (GDP)'!O$13</f>
        <v>0</v>
      </c>
      <c r="H16" s="4">
        <f>'REMIND SSP2-RCP2.6'!H16/'REMIND SSP2-RCP2.6 (GDP)'!P$14*'REMIND SSP2-RCP2.6 (GDP)'!P$13</f>
        <v>0</v>
      </c>
    </row>
    <row r="17" spans="1:8" x14ac:dyDescent="0.35">
      <c r="A17" s="30"/>
      <c r="B17" s="3" t="s">
        <v>15</v>
      </c>
      <c r="C17" s="4">
        <f>'REMIND SSP2-RCP2.6'!C17/'REMIND SSP2-RCP2.6 (GDP)'!K$14*'REMIND SSP2-RCP2.6 (GDP)'!K$13</f>
        <v>2.4124512114357639</v>
      </c>
      <c r="D17" s="4">
        <f>'REMIND SSP2-RCP2.6'!D17/'REMIND SSP2-RCP2.6 (GDP)'!L$14*'REMIND SSP2-RCP2.6 (GDP)'!L$13</f>
        <v>1.7178603016113472</v>
      </c>
      <c r="E17" s="4">
        <f>'REMIND SSP2-RCP2.6'!E17/'REMIND SSP2-RCP2.6 (GDP)'!M$14*'REMIND SSP2-RCP2.6 (GDP)'!M$13</f>
        <v>0.23592322357812096</v>
      </c>
      <c r="F17" s="4">
        <f>'REMIND SSP2-RCP2.6'!F17/'REMIND SSP2-RCP2.6 (GDP)'!N$14*'REMIND SSP2-RCP2.6 (GDP)'!N$13</f>
        <v>1.4342969846581569E-2</v>
      </c>
      <c r="G17" s="4">
        <f>'REMIND SSP2-RCP2.6'!G17/'REMIND SSP2-RCP2.6 (GDP)'!O$14*'REMIND SSP2-RCP2.6 (GDP)'!O$13</f>
        <v>5.743512203812718E-2</v>
      </c>
      <c r="H17" s="4">
        <f>'REMIND SSP2-RCP2.6'!H17/'REMIND SSP2-RCP2.6 (GDP)'!P$14*'REMIND SSP2-RCP2.6 (GDP)'!P$13</f>
        <v>1.6160611111192956E-2</v>
      </c>
    </row>
    <row r="18" spans="1:8" x14ac:dyDescent="0.35">
      <c r="A18" s="30" t="s">
        <v>26</v>
      </c>
      <c r="B18" s="3" t="s">
        <v>16</v>
      </c>
      <c r="C18" s="4">
        <f>'REMIND SSP2-RCP2.6'!C18/'REMIND SSP2-RCP2.6 (GDP)'!K$14*'REMIND SSP2-RCP2.6 (GDP)'!K$13</f>
        <v>1.0332829962259993</v>
      </c>
      <c r="D18" s="4">
        <f>'REMIND SSP2-RCP2.6'!D18/'REMIND SSP2-RCP2.6 (GDP)'!L$14*'REMIND SSP2-RCP2.6 (GDP)'!L$13</f>
        <v>0.5200997440466768</v>
      </c>
      <c r="E18" s="4">
        <f>'REMIND SSP2-RCP2.6'!E18/'REMIND SSP2-RCP2.6 (GDP)'!M$14*'REMIND SSP2-RCP2.6 (GDP)'!M$13</f>
        <v>0</v>
      </c>
      <c r="F18" s="4">
        <f>'REMIND SSP2-RCP2.6'!F18/'REMIND SSP2-RCP2.6 (GDP)'!N$14*'REMIND SSP2-RCP2.6 (GDP)'!N$13</f>
        <v>0</v>
      </c>
      <c r="G18" s="4">
        <f>'REMIND SSP2-RCP2.6'!G18/'REMIND SSP2-RCP2.6 (GDP)'!O$14*'REMIND SSP2-RCP2.6 (GDP)'!O$13</f>
        <v>0</v>
      </c>
      <c r="H18" s="4">
        <f>'REMIND SSP2-RCP2.6'!H18/'REMIND SSP2-RCP2.6 (GDP)'!P$14*'REMIND SSP2-RCP2.6 (GDP)'!P$13</f>
        <v>0</v>
      </c>
    </row>
    <row r="19" spans="1:8" x14ac:dyDescent="0.35">
      <c r="A19" s="30"/>
      <c r="B19" s="3" t="s">
        <v>9</v>
      </c>
      <c r="C19" s="4">
        <f>'REMIND SSP2-RCP2.6'!C19/'REMIND SSP2-RCP2.6 (GDP)'!K$14*'REMIND SSP2-RCP2.6 (GDP)'!K$13</f>
        <v>0.9642264699883426</v>
      </c>
      <c r="D19" s="4">
        <f>'REMIND SSP2-RCP2.6'!D19/'REMIND SSP2-RCP2.6 (GDP)'!L$14*'REMIND SSP2-RCP2.6 (GDP)'!L$13</f>
        <v>0.49139389036519449</v>
      </c>
      <c r="E19" s="4">
        <f>'REMIND SSP2-RCP2.6'!E19/'REMIND SSP2-RCP2.6 (GDP)'!M$14*'REMIND SSP2-RCP2.6 (GDP)'!M$13</f>
        <v>1.1664754699569608E-2</v>
      </c>
      <c r="F19" s="4">
        <f>'REMIND SSP2-RCP2.6'!F19/'REMIND SSP2-RCP2.6 (GDP)'!N$14*'REMIND SSP2-RCP2.6 (GDP)'!N$13</f>
        <v>6.0507035329438982E-4</v>
      </c>
      <c r="G19" s="4">
        <f>'REMIND SSP2-RCP2.6'!G19/'REMIND SSP2-RCP2.6 (GDP)'!O$14*'REMIND SSP2-RCP2.6 (GDP)'!O$13</f>
        <v>2.9228142910485183E-3</v>
      </c>
      <c r="H19" s="4">
        <f>'REMIND SSP2-RCP2.6'!H19/'REMIND SSP2-RCP2.6 (GDP)'!P$14*'REMIND SSP2-RCP2.6 (GDP)'!P$13</f>
        <v>2.9561608110745866E-3</v>
      </c>
    </row>
    <row r="20" spans="1:8" x14ac:dyDescent="0.35">
      <c r="A20" s="30"/>
      <c r="B20" s="3" t="s">
        <v>10</v>
      </c>
      <c r="C20" s="4">
        <f>'REMIND SSP2-RCP2.6'!C20/'REMIND SSP2-RCP2.6 (GDP)'!K$14*'REMIND SSP2-RCP2.6 (GDP)'!K$13</f>
        <v>0.19613126550544502</v>
      </c>
      <c r="D20" s="4">
        <f>'REMIND SSP2-RCP2.6'!D20/'REMIND SSP2-RCP2.6 (GDP)'!L$14*'REMIND SSP2-RCP2.6 (GDP)'!L$13</f>
        <v>0.19126909611618928</v>
      </c>
      <c r="E20" s="4">
        <f>'REMIND SSP2-RCP2.6'!E20/'REMIND SSP2-RCP2.6 (GDP)'!M$14*'REMIND SSP2-RCP2.6 (GDP)'!M$13</f>
        <v>0.17525562874879616</v>
      </c>
      <c r="F20" s="4">
        <f>'REMIND SSP2-RCP2.6'!F20/'REMIND SSP2-RCP2.6 (GDP)'!N$14*'REMIND SSP2-RCP2.6 (GDP)'!N$13</f>
        <v>3.3609117848637854E-3</v>
      </c>
      <c r="G20" s="4">
        <f>'REMIND SSP2-RCP2.6'!G20/'REMIND SSP2-RCP2.6 (GDP)'!O$14*'REMIND SSP2-RCP2.6 (GDP)'!O$13</f>
        <v>5.3974006346483465E-2</v>
      </c>
      <c r="H20" s="4">
        <f>'REMIND SSP2-RCP2.6'!H20/'REMIND SSP2-RCP2.6 (GDP)'!P$14*'REMIND SSP2-RCP2.6 (GDP)'!P$13</f>
        <v>2.2616868163391562E-3</v>
      </c>
    </row>
    <row r="21" spans="1:8" x14ac:dyDescent="0.35">
      <c r="A21" s="30"/>
      <c r="B21" s="3" t="s">
        <v>11</v>
      </c>
      <c r="C21" s="4">
        <f>'REMIND SSP2-RCP2.6'!C21/'REMIND SSP2-RCP2.6 (GDP)'!K$14*'REMIND SSP2-RCP2.6 (GDP)'!K$13</f>
        <v>8.4914280395541851E-3</v>
      </c>
      <c r="D21" s="4">
        <f>'REMIND SSP2-RCP2.6'!D21/'REMIND SSP2-RCP2.6 (GDP)'!L$14*'REMIND SSP2-RCP2.6 (GDP)'!L$13</f>
        <v>5.5854105729558907E-2</v>
      </c>
      <c r="E21" s="4">
        <f>'REMIND SSP2-RCP2.6'!E21/'REMIND SSP2-RCP2.6 (GDP)'!M$14*'REMIND SSP2-RCP2.6 (GDP)'!M$13</f>
        <v>0.21760705159512683</v>
      </c>
      <c r="F21" s="4">
        <f>'REMIND SSP2-RCP2.6'!F21/'REMIND SSP2-RCP2.6 (GDP)'!N$14*'REMIND SSP2-RCP2.6 (GDP)'!N$13</f>
        <v>1.8133067566063751E-2</v>
      </c>
      <c r="G21" s="4">
        <f>'REMIND SSP2-RCP2.6'!G21/'REMIND SSP2-RCP2.6 (GDP)'!O$14*'REMIND SSP2-RCP2.6 (GDP)'!O$13</f>
        <v>4.7662969956317962E-2</v>
      </c>
      <c r="H21" s="4">
        <f>'REMIND SSP2-RCP2.6'!H21/'REMIND SSP2-RCP2.6 (GDP)'!P$14*'REMIND SSP2-RCP2.6 (GDP)'!P$13</f>
        <v>9.5115193150387273E-3</v>
      </c>
    </row>
    <row r="22" spans="1:8" x14ac:dyDescent="0.35">
      <c r="A22" s="30"/>
      <c r="B22" s="3" t="s">
        <v>12</v>
      </c>
      <c r="C22" s="4">
        <f>'REMIND SSP2-RCP2.6'!C22/'REMIND SSP2-RCP2.6 (GDP)'!K$14*'REMIND SSP2-RCP2.6 (GDP)'!K$13</f>
        <v>-0.27035806078717811</v>
      </c>
      <c r="D22" s="4">
        <f>'REMIND SSP2-RCP2.6'!D22/'REMIND SSP2-RCP2.6 (GDP)'!L$14*'REMIND SSP2-RCP2.6 (GDP)'!L$13</f>
        <v>1.0778038693467396</v>
      </c>
      <c r="E22" s="4">
        <f>'REMIND SSP2-RCP2.6'!E22/'REMIND SSP2-RCP2.6 (GDP)'!M$14*'REMIND SSP2-RCP2.6 (GDP)'!M$13</f>
        <v>3.3470733342072879E-2</v>
      </c>
      <c r="F22" s="4">
        <f>'REMIND SSP2-RCP2.6'!F22/'REMIND SSP2-RCP2.6 (GDP)'!N$14*'REMIND SSP2-RCP2.6 (GDP)'!N$13</f>
        <v>6.3594925291273665E-3</v>
      </c>
      <c r="G22" s="4">
        <f>'REMIND SSP2-RCP2.6'!G22/'REMIND SSP2-RCP2.6 (GDP)'!O$14*'REMIND SSP2-RCP2.6 (GDP)'!O$13</f>
        <v>1.210499532580492E-2</v>
      </c>
      <c r="H22" s="4">
        <f>'REMIND SSP2-RCP2.6'!H22/'REMIND SSP2-RCP2.6 (GDP)'!P$14*'REMIND SSP2-RCP2.6 (GDP)'!P$13</f>
        <v>5.2959959919813325E-3</v>
      </c>
    </row>
    <row r="23" spans="1:8" x14ac:dyDescent="0.35">
      <c r="A23" s="30"/>
      <c r="B23" s="3" t="s">
        <v>13</v>
      </c>
      <c r="C23" s="4">
        <f>'REMIND SSP2-RCP2.6'!C23/'REMIND SSP2-RCP2.6 (GDP)'!K$14*'REMIND SSP2-RCP2.6 (GDP)'!K$13</f>
        <v>1.3033076359330022E-2</v>
      </c>
      <c r="D23" s="4">
        <f>'REMIND SSP2-RCP2.6'!D23/'REMIND SSP2-RCP2.6 (GDP)'!L$14*'REMIND SSP2-RCP2.6 (GDP)'!L$13</f>
        <v>1.5029571409906064E-2</v>
      </c>
      <c r="E23" s="4">
        <f>'REMIND SSP2-RCP2.6'!E23/'REMIND SSP2-RCP2.6 (GDP)'!M$14*'REMIND SSP2-RCP2.6 (GDP)'!M$13</f>
        <v>0.1132279230564413</v>
      </c>
      <c r="F23" s="4">
        <f>'REMIND SSP2-RCP2.6'!F23/'REMIND SSP2-RCP2.6 (GDP)'!N$14*'REMIND SSP2-RCP2.6 (GDP)'!N$13</f>
        <v>7.6724931690978831E-3</v>
      </c>
      <c r="G23" s="4">
        <f>'REMIND SSP2-RCP2.6'!G23/'REMIND SSP2-RCP2.6 (GDP)'!O$14*'REMIND SSP2-RCP2.6 (GDP)'!O$13</f>
        <v>1.3970804192700933E-2</v>
      </c>
      <c r="H23" s="4">
        <f>'REMIND SSP2-RCP2.6'!H23/'REMIND SSP2-RCP2.6 (GDP)'!P$14*'REMIND SSP2-RCP2.6 (GDP)'!P$13</f>
        <v>6.5362607812757328E-3</v>
      </c>
    </row>
    <row r="24" spans="1:8" x14ac:dyDescent="0.35">
      <c r="A24" s="30"/>
      <c r="B24" s="3" t="s">
        <v>14</v>
      </c>
      <c r="C24" s="4">
        <f>'REMIND SSP2-RCP2.6'!C24/'REMIND SSP2-RCP2.6 (GDP)'!K$14*'REMIND SSP2-RCP2.6 (GDP)'!K$13</f>
        <v>0</v>
      </c>
      <c r="D24" s="4">
        <f>'REMIND SSP2-RCP2.6'!D24/'REMIND SSP2-RCP2.6 (GDP)'!L$14*'REMIND SSP2-RCP2.6 (GDP)'!L$13</f>
        <v>0</v>
      </c>
      <c r="E24" s="4">
        <f>'REMIND SSP2-RCP2.6'!E24/'REMIND SSP2-RCP2.6 (GDP)'!M$14*'REMIND SSP2-RCP2.6 (GDP)'!M$13</f>
        <v>0</v>
      </c>
      <c r="F24" s="4">
        <f>'REMIND SSP2-RCP2.6'!F24/'REMIND SSP2-RCP2.6 (GDP)'!N$14*'REMIND SSP2-RCP2.6 (GDP)'!N$13</f>
        <v>0</v>
      </c>
      <c r="G24" s="4">
        <f>'REMIND SSP2-RCP2.6'!G24/'REMIND SSP2-RCP2.6 (GDP)'!O$14*'REMIND SSP2-RCP2.6 (GDP)'!O$13</f>
        <v>0</v>
      </c>
      <c r="H24" s="4">
        <f>'REMIND SSP2-RCP2.6'!H24/'REMIND SSP2-RCP2.6 (GDP)'!P$14*'REMIND SSP2-RCP2.6 (GDP)'!P$13</f>
        <v>0</v>
      </c>
    </row>
    <row r="25" spans="1:8" x14ac:dyDescent="0.35">
      <c r="A25" s="30"/>
      <c r="B25" s="3" t="s">
        <v>15</v>
      </c>
      <c r="C25" s="4">
        <f>'REMIND SSP2-RCP2.6'!C25/'REMIND SSP2-RCP2.6 (GDP)'!K$14*'REMIND SSP2-RCP2.6 (GDP)'!K$13</f>
        <v>1.9448071753314933</v>
      </c>
      <c r="D25" s="4">
        <f>'REMIND SSP2-RCP2.6'!D25/'REMIND SSP2-RCP2.6 (GDP)'!L$14*'REMIND SSP2-RCP2.6 (GDP)'!L$13</f>
        <v>2.3514502770142647</v>
      </c>
      <c r="E25" s="4">
        <f>'REMIND SSP2-RCP2.6'!E25/'REMIND SSP2-RCP2.6 (GDP)'!M$14*'REMIND SSP2-RCP2.6 (GDP)'!M$13</f>
        <v>0.55122609144200674</v>
      </c>
      <c r="F25" s="4">
        <f>'REMIND SSP2-RCP2.6'!F25/'REMIND SSP2-RCP2.6 (GDP)'!N$14*'REMIND SSP2-RCP2.6 (GDP)'!N$13</f>
        <v>3.6131035402447179E-2</v>
      </c>
      <c r="G25" s="4">
        <f>'REMIND SSP2-RCP2.6'!G25/'REMIND SSP2-RCP2.6 (GDP)'!O$14*'REMIND SSP2-RCP2.6 (GDP)'!O$13</f>
        <v>0.13063559011235579</v>
      </c>
      <c r="H25" s="4">
        <f>'REMIND SSP2-RCP2.6'!H25/'REMIND SSP2-RCP2.6 (GDP)'!P$14*'REMIND SSP2-RCP2.6 (GDP)'!P$13</f>
        <v>2.6561623715709533E-2</v>
      </c>
    </row>
    <row r="26" spans="1:8" x14ac:dyDescent="0.35">
      <c r="A26" s="30" t="s">
        <v>28</v>
      </c>
      <c r="B26" s="3" t="s">
        <v>16</v>
      </c>
      <c r="C26" s="4">
        <f>'REMIND SSP2-RCP2.6'!C26/'REMIND SSP2-RCP2.6 (GDP)'!K$14*'REMIND SSP2-RCP2.6 (GDP)'!K$13</f>
        <v>1.0332829962259993</v>
      </c>
      <c r="D26" s="4">
        <f>'REMIND SSP2-RCP2.6'!D26/'REMIND SSP2-RCP2.6 (GDP)'!L$14*'REMIND SSP2-RCP2.6 (GDP)'!L$13</f>
        <v>0.5200997440466768</v>
      </c>
      <c r="E26" s="4">
        <f>'REMIND SSP2-RCP2.6'!E26/'REMIND SSP2-RCP2.6 (GDP)'!M$14*'REMIND SSP2-RCP2.6 (GDP)'!M$13</f>
        <v>0</v>
      </c>
      <c r="F26" s="4">
        <f>'REMIND SSP2-RCP2.6'!F26/'REMIND SSP2-RCP2.6 (GDP)'!N$14*'REMIND SSP2-RCP2.6 (GDP)'!N$13</f>
        <v>0</v>
      </c>
      <c r="G26" s="4">
        <f>'REMIND SSP2-RCP2.6'!G26/'REMIND SSP2-RCP2.6 (GDP)'!O$14*'REMIND SSP2-RCP2.6 (GDP)'!O$13</f>
        <v>0</v>
      </c>
      <c r="H26" s="4">
        <f>'REMIND SSP2-RCP2.6'!H26/'REMIND SSP2-RCP2.6 (GDP)'!P$14*'REMIND SSP2-RCP2.6 (GDP)'!P$13</f>
        <v>0</v>
      </c>
    </row>
    <row r="27" spans="1:8" x14ac:dyDescent="0.35">
      <c r="A27" s="30"/>
      <c r="B27" s="3" t="s">
        <v>9</v>
      </c>
      <c r="C27" s="4">
        <f>'REMIND SSP2-RCP2.6'!C27/'REMIND SSP2-RCP2.6 (GDP)'!K$14*'REMIND SSP2-RCP2.6 (GDP)'!K$13</f>
        <v>0.55324670120996711</v>
      </c>
      <c r="D27" s="4">
        <f>'REMIND SSP2-RCP2.6'!D27/'REMIND SSP2-RCP2.6 (GDP)'!L$14*'REMIND SSP2-RCP2.6 (GDP)'!L$13</f>
        <v>0.27847498579279556</v>
      </c>
      <c r="E27" s="4">
        <f>'REMIND SSP2-RCP2.6'!E27/'REMIND SSP2-RCP2.6 (GDP)'!M$14*'REMIND SSP2-RCP2.6 (GDP)'!M$13</f>
        <v>0</v>
      </c>
      <c r="F27" s="4">
        <f>'REMIND SSP2-RCP2.6'!F27/'REMIND SSP2-RCP2.6 (GDP)'!N$14*'REMIND SSP2-RCP2.6 (GDP)'!N$13</f>
        <v>0</v>
      </c>
      <c r="G27" s="4">
        <f>'REMIND SSP2-RCP2.6'!G27/'REMIND SSP2-RCP2.6 (GDP)'!O$14*'REMIND SSP2-RCP2.6 (GDP)'!O$13</f>
        <v>0</v>
      </c>
      <c r="H27" s="4">
        <f>'REMIND SSP2-RCP2.6'!H27/'REMIND SSP2-RCP2.6 (GDP)'!P$14*'REMIND SSP2-RCP2.6 (GDP)'!P$13</f>
        <v>0</v>
      </c>
    </row>
    <row r="28" spans="1:8" x14ac:dyDescent="0.35">
      <c r="A28" s="30"/>
      <c r="B28" s="3" t="s">
        <v>10</v>
      </c>
      <c r="C28" s="4">
        <f>'REMIND SSP2-RCP2.6'!C28/'REMIND SSP2-RCP2.6 (GDP)'!K$14*'REMIND SSP2-RCP2.6 (GDP)'!K$13</f>
        <v>0.34537983599888256</v>
      </c>
      <c r="D28" s="4">
        <f>'REMIND SSP2-RCP2.6'!D28/'REMIND SSP2-RCP2.6 (GDP)'!L$14*'REMIND SSP2-RCP2.6 (GDP)'!L$13</f>
        <v>0.4428375464491171</v>
      </c>
      <c r="E28" s="4">
        <f>'REMIND SSP2-RCP2.6'!E28/'REMIND SSP2-RCP2.6 (GDP)'!M$14*'REMIND SSP2-RCP2.6 (GDP)'!M$13</f>
        <v>0.50938752684814226</v>
      </c>
      <c r="F28" s="4">
        <f>'REMIND SSP2-RCP2.6'!F28/'REMIND SSP2-RCP2.6 (GDP)'!N$14*'REMIND SSP2-RCP2.6 (GDP)'!N$13</f>
        <v>9.7686251464165885E-3</v>
      </c>
      <c r="G28" s="4">
        <f>'REMIND SSP2-RCP2.6'!G28/'REMIND SSP2-RCP2.6 (GDP)'!O$14*'REMIND SSP2-RCP2.6 (GDP)'!O$13</f>
        <v>0.15687761815815579</v>
      </c>
      <c r="H28" s="4">
        <f>'REMIND SSP2-RCP2.6'!H28/'REMIND SSP2-RCP2.6 (GDP)'!P$14*'REMIND SSP2-RCP2.6 (GDP)'!P$13</f>
        <v>6.5736836077966215E-3</v>
      </c>
    </row>
    <row r="29" spans="1:8" x14ac:dyDescent="0.35">
      <c r="A29" s="30"/>
      <c r="B29" s="3" t="s">
        <v>11</v>
      </c>
      <c r="C29" s="4">
        <f>'REMIND SSP2-RCP2.6'!C29/'REMIND SSP2-RCP2.6 (GDP)'!K$14*'REMIND SSP2-RCP2.6 (GDP)'!K$13</f>
        <v>1.3664323937782726E-2</v>
      </c>
      <c r="D29" s="4">
        <f>'REMIND SSP2-RCP2.6'!D29/'REMIND SSP2-RCP2.6 (GDP)'!L$14*'REMIND SSP2-RCP2.6 (GDP)'!L$13</f>
        <v>4.6867874751510663E-2</v>
      </c>
      <c r="E29" s="4">
        <f>'REMIND SSP2-RCP2.6'!E29/'REMIND SSP2-RCP2.6 (GDP)'!M$14*'REMIND SSP2-RCP2.6 (GDP)'!M$13</f>
        <v>0.16871086478550937</v>
      </c>
      <c r="F29" s="4">
        <f>'REMIND SSP2-RCP2.6'!F29/'REMIND SSP2-RCP2.6 (GDP)'!N$14*'REMIND SSP2-RCP2.6 (GDP)'!N$13</f>
        <v>1.4058577090491671E-2</v>
      </c>
      <c r="G29" s="4">
        <f>'REMIND SSP2-RCP2.6'!G29/'REMIND SSP2-RCP2.6 (GDP)'!O$14*'REMIND SSP2-RCP2.6 (GDP)'!O$13</f>
        <v>3.695312638368671E-2</v>
      </c>
      <c r="H29" s="4">
        <f>'REMIND SSP2-RCP2.6'!H29/'REMIND SSP2-RCP2.6 (GDP)'!P$14*'REMIND SSP2-RCP2.6 (GDP)'!P$13</f>
        <v>7.3742860688628328E-3</v>
      </c>
    </row>
    <row r="30" spans="1:8" x14ac:dyDescent="0.35">
      <c r="A30" s="30"/>
      <c r="B30" s="3" t="s">
        <v>12</v>
      </c>
      <c r="C30" s="4">
        <f>'REMIND SSP2-RCP2.6'!C30/'REMIND SSP2-RCP2.6 (GDP)'!K$14*'REMIND SSP2-RCP2.6 (GDP)'!K$13</f>
        <v>-0.36070661450273622</v>
      </c>
      <c r="D30" s="4">
        <f>'REMIND SSP2-RCP2.6'!D30/'REMIND SSP2-RCP2.6 (GDP)'!L$14*'REMIND SSP2-RCP2.6 (GDP)'!L$13</f>
        <v>0.75956728862345257</v>
      </c>
      <c r="E30" s="4">
        <f>'REMIND SSP2-RCP2.6'!E30/'REMIND SSP2-RCP2.6 (GDP)'!M$14*'REMIND SSP2-RCP2.6 (GDP)'!M$13</f>
        <v>2.5949877661376103E-2</v>
      </c>
      <c r="F30" s="4">
        <f>'REMIND SSP2-RCP2.6'!F30/'REMIND SSP2-RCP2.6 (GDP)'!N$14*'REMIND SSP2-RCP2.6 (GDP)'!N$13</f>
        <v>4.9305179971019459E-3</v>
      </c>
      <c r="G30" s="4">
        <f>'REMIND SSP2-RCP2.6'!G30/'REMIND SSP2-RCP2.6 (GDP)'!O$14*'REMIND SSP2-RCP2.6 (GDP)'!O$13</f>
        <v>9.3850094225845088E-3</v>
      </c>
      <c r="H30" s="4">
        <f>'REMIND SSP2-RCP2.6'!H30/'REMIND SSP2-RCP2.6 (GDP)'!P$14*'REMIND SSP2-RCP2.6 (GDP)'!P$13</f>
        <v>4.1059885567043437E-3</v>
      </c>
    </row>
    <row r="31" spans="1:8" x14ac:dyDescent="0.35">
      <c r="A31" s="30"/>
      <c r="B31" s="3" t="s">
        <v>13</v>
      </c>
      <c r="C31" s="4">
        <f>'REMIND SSP2-RCP2.6'!C31/'REMIND SSP2-RCP2.6 (GDP)'!K$14*'REMIND SSP2-RCP2.6 (GDP)'!K$13</f>
        <v>1.7895183302898184E-2</v>
      </c>
      <c r="D31" s="4">
        <f>'REMIND SSP2-RCP2.6'!D31/'REMIND SSP2-RCP2.6 (GDP)'!L$14*'REMIND SSP2-RCP2.6 (GDP)'!L$13</f>
        <v>1.5573825016641707E-2</v>
      </c>
      <c r="E31" s="4">
        <f>'REMIND SSP2-RCP2.6'!E31/'REMIND SSP2-RCP2.6 (GDP)'!M$14*'REMIND SSP2-RCP2.6 (GDP)'!M$13</f>
        <v>8.7785669980315742E-2</v>
      </c>
      <c r="F31" s="4">
        <f>'REMIND SSP2-RCP2.6'!F31/'REMIND SSP2-RCP2.6 (GDP)'!N$14*'REMIND SSP2-RCP2.6 (GDP)'!N$13</f>
        <v>5.9484881033533806E-3</v>
      </c>
      <c r="G31" s="4">
        <f>'REMIND SSP2-RCP2.6'!G31/'REMIND SSP2-RCP2.6 (GDP)'!O$14*'REMIND SSP2-RCP2.6 (GDP)'!O$13</f>
        <v>1.0831572046134825E-2</v>
      </c>
      <c r="H31" s="4">
        <f>'REMIND SSP2-RCP2.6'!H31/'REMIND SSP2-RCP2.6 (GDP)'!P$14*'REMIND SSP2-RCP2.6 (GDP)'!P$13</f>
        <v>5.0675665185903988E-3</v>
      </c>
    </row>
    <row r="32" spans="1:8" x14ac:dyDescent="0.35">
      <c r="A32" s="30"/>
      <c r="B32" s="3" t="s">
        <v>14</v>
      </c>
      <c r="C32" s="4">
        <f>'REMIND SSP2-RCP2.6'!C32/'REMIND SSP2-RCP2.6 (GDP)'!K$14*'REMIND SSP2-RCP2.6 (GDP)'!K$13</f>
        <v>4.6297146264540085E-3</v>
      </c>
      <c r="D32" s="4">
        <f>'REMIND SSP2-RCP2.6'!D32/'REMIND SSP2-RCP2.6 (GDP)'!L$14*'REMIND SSP2-RCP2.6 (GDP)'!L$13</f>
        <v>1.2185851348880436E-2</v>
      </c>
      <c r="E32" s="4">
        <f>'REMIND SSP2-RCP2.6'!E32/'REMIND SSP2-RCP2.6 (GDP)'!M$14*'REMIND SSP2-RCP2.6 (GDP)'!M$13</f>
        <v>3.1891300200601422E-2</v>
      </c>
      <c r="F32" s="4">
        <f>'REMIND SSP2-RCP2.6'!F32/'REMIND SSP2-RCP2.6 (GDP)'!N$14*'REMIND SSP2-RCP2.6 (GDP)'!N$13</f>
        <v>6.5376947928589722E-4</v>
      </c>
      <c r="G32" s="4">
        <f>'REMIND SSP2-RCP2.6'!G32/'REMIND SSP2-RCP2.6 (GDP)'!O$14*'REMIND SSP2-RCP2.6 (GDP)'!O$13</f>
        <v>5.3885144912178429E-3</v>
      </c>
      <c r="H32" s="4">
        <f>'REMIND SSP2-RCP2.6'!H32/'REMIND SSP2-RCP2.6 (GDP)'!P$14*'REMIND SSP2-RCP2.6 (GDP)'!P$13</f>
        <v>2.6757365067936706E-4</v>
      </c>
    </row>
    <row r="33" spans="1:8" x14ac:dyDescent="0.35">
      <c r="A33" s="30"/>
      <c r="B33" s="3" t="s">
        <v>15</v>
      </c>
      <c r="C33" s="4">
        <f>'REMIND SSP2-RCP2.6'!C33/'REMIND SSP2-RCP2.6 (GDP)'!K$14*'REMIND SSP2-RCP2.6 (GDP)'!K$13</f>
        <v>1.607392140799248</v>
      </c>
      <c r="D33" s="4">
        <f>'REMIND SSP2-RCP2.6'!D33/'REMIND SSP2-RCP2.6 (GDP)'!L$14*'REMIND SSP2-RCP2.6 (GDP)'!L$13</f>
        <v>2.075607116029075</v>
      </c>
      <c r="E33" s="4">
        <f>'REMIND SSP2-RCP2.6'!E33/'REMIND SSP2-RCP2.6 (GDP)'!M$14*'REMIND SSP2-RCP2.6 (GDP)'!M$13</f>
        <v>0.823725239475945</v>
      </c>
      <c r="F33" s="4">
        <f>'REMIND SSP2-RCP2.6'!F33/'REMIND SSP2-RCP2.6 (GDP)'!N$14*'REMIND SSP2-RCP2.6 (GDP)'!N$13</f>
        <v>3.5359977816649485E-2</v>
      </c>
      <c r="G33" s="4">
        <f>'REMIND SSP2-RCP2.6'!G33/'REMIND SSP2-RCP2.6 (GDP)'!O$14*'REMIND SSP2-RCP2.6 (GDP)'!O$13</f>
        <v>0.21943584050177975</v>
      </c>
      <c r="H33" s="4">
        <f>'REMIND SSP2-RCP2.6'!H33/'REMIND SSP2-RCP2.6 (GDP)'!P$14*'REMIND SSP2-RCP2.6 (GDP)'!P$13</f>
        <v>2.3389098402633566E-2</v>
      </c>
    </row>
    <row r="34" spans="1:8" x14ac:dyDescent="0.35">
      <c r="A34" s="30" t="s">
        <v>27</v>
      </c>
      <c r="B34" s="3" t="s">
        <v>16</v>
      </c>
      <c r="C34" s="4">
        <f>'REMIND SSP2-RCP2.6'!C34/'REMIND SSP2-RCP2.6 (GDP)'!K$14*'REMIND SSP2-RCP2.6 (GDP)'!K$13</f>
        <v>1.0332829962259993</v>
      </c>
      <c r="D34" s="4">
        <f>'REMIND SSP2-RCP2.6'!D34/'REMIND SSP2-RCP2.6 (GDP)'!L$14*'REMIND SSP2-RCP2.6 (GDP)'!L$13</f>
        <v>0.5200997440466768</v>
      </c>
      <c r="E34" s="4">
        <f>'REMIND SSP2-RCP2.6'!E34/'REMIND SSP2-RCP2.6 (GDP)'!M$14*'REMIND SSP2-RCP2.6 (GDP)'!M$13</f>
        <v>0</v>
      </c>
      <c r="F34" s="4">
        <f>'REMIND SSP2-RCP2.6'!F34/'REMIND SSP2-RCP2.6 (GDP)'!N$14*'REMIND SSP2-RCP2.6 (GDP)'!N$13</f>
        <v>0</v>
      </c>
      <c r="G34" s="4">
        <f>'REMIND SSP2-RCP2.6'!G34/'REMIND SSP2-RCP2.6 (GDP)'!O$14*'REMIND SSP2-RCP2.6 (GDP)'!O$13</f>
        <v>0</v>
      </c>
      <c r="H34" s="4">
        <f>'REMIND SSP2-RCP2.6'!H34/'REMIND SSP2-RCP2.6 (GDP)'!P$14*'REMIND SSP2-RCP2.6 (GDP)'!P$13</f>
        <v>0</v>
      </c>
    </row>
    <row r="35" spans="1:8" x14ac:dyDescent="0.35">
      <c r="A35" s="30"/>
      <c r="B35" s="3" t="s">
        <v>9</v>
      </c>
      <c r="C35" s="4">
        <f>'REMIND SSP2-RCP2.6'!C35/'REMIND SSP2-RCP2.6 (GDP)'!K$14*'REMIND SSP2-RCP2.6 (GDP)'!K$13</f>
        <v>1.074783300374222</v>
      </c>
      <c r="D35" s="4">
        <f>'REMIND SSP2-RCP2.6'!D35/'REMIND SSP2-RCP2.6 (GDP)'!L$14*'REMIND SSP2-RCP2.6 (GDP)'!L$13</f>
        <v>0.54744247166824767</v>
      </c>
      <c r="E35" s="4">
        <f>'REMIND SSP2-RCP2.6'!E35/'REMIND SSP2-RCP2.6 (GDP)'!M$14*'REMIND SSP2-RCP2.6 (GDP)'!M$13</f>
        <v>1.2435814755981843E-2</v>
      </c>
      <c r="F35" s="4">
        <f>'REMIND SSP2-RCP2.6'!F35/'REMIND SSP2-RCP2.6 (GDP)'!N$14*'REMIND SSP2-RCP2.6 (GDP)'!N$13</f>
        <v>6.4506652919012067E-4</v>
      </c>
      <c r="G35" s="4">
        <f>'REMIND SSP2-RCP2.6'!G35/'REMIND SSP2-RCP2.6 (GDP)'!O$14*'REMIND SSP2-RCP2.6 (GDP)'!O$13</f>
        <v>3.1160172696093531E-3</v>
      </c>
      <c r="H35" s="4">
        <f>'REMIND SSP2-RCP2.6'!H35/'REMIND SSP2-RCP2.6 (GDP)'!P$14*'REMIND SSP2-RCP2.6 (GDP)'!P$13</f>
        <v>3.1515680511286694E-3</v>
      </c>
    </row>
    <row r="36" spans="1:8" x14ac:dyDescent="0.35">
      <c r="A36" s="30"/>
      <c r="B36" s="3" t="s">
        <v>10</v>
      </c>
      <c r="C36" s="4">
        <f>'REMIND SSP2-RCP2.6'!C36/'REMIND SSP2-RCP2.6 (GDP)'!K$14*'REMIND SSP2-RCP2.6 (GDP)'!K$13</f>
        <v>0.10454651294511898</v>
      </c>
      <c r="D36" s="4">
        <f>'REMIND SSP2-RCP2.6'!D36/'REMIND SSP2-RCP2.6 (GDP)'!L$14*'REMIND SSP2-RCP2.6 (GDP)'!L$13</f>
        <v>0.22328803504192363</v>
      </c>
      <c r="E36" s="4">
        <f>'REMIND SSP2-RCP2.6'!E36/'REMIND SSP2-RCP2.6 (GDP)'!M$14*'REMIND SSP2-RCP2.6 (GDP)'!M$13</f>
        <v>0.3231867814626736</v>
      </c>
      <c r="F36" s="4">
        <f>'REMIND SSP2-RCP2.6'!F36/'REMIND SSP2-RCP2.6 (GDP)'!N$14*'REMIND SSP2-RCP2.6 (GDP)'!N$13</f>
        <v>6.1978166994397215E-3</v>
      </c>
      <c r="G36" s="4">
        <f>'REMIND SSP2-RCP2.6'!G36/'REMIND SSP2-RCP2.6 (GDP)'!O$14*'REMIND SSP2-RCP2.6 (GDP)'!O$13</f>
        <v>9.9532811118831055E-2</v>
      </c>
      <c r="H36" s="4">
        <f>'REMIND SSP2-RCP2.6'!H36/'REMIND SSP2-RCP2.6 (GDP)'!P$14*'REMIND SSP2-RCP2.6 (GDP)'!P$13</f>
        <v>4.1707492539193782E-3</v>
      </c>
    </row>
    <row r="37" spans="1:8" x14ac:dyDescent="0.35">
      <c r="A37" s="30"/>
      <c r="B37" s="3" t="s">
        <v>11</v>
      </c>
      <c r="C37" s="4">
        <f>'REMIND SSP2-RCP2.6'!C37/'REMIND SSP2-RCP2.6 (GDP)'!K$14*'REMIND SSP2-RCP2.6 (GDP)'!K$13</f>
        <v>7.2462588780764278E-3</v>
      </c>
      <c r="D37" s="4">
        <f>'REMIND SSP2-RCP2.6'!D37/'REMIND SSP2-RCP2.6 (GDP)'!L$14*'REMIND SSP2-RCP2.6 (GDP)'!L$13</f>
        <v>3.7786586974615503E-2</v>
      </c>
      <c r="E37" s="4">
        <f>'REMIND SSP2-RCP2.6'!E37/'REMIND SSP2-RCP2.6 (GDP)'!M$14*'REMIND SSP2-RCP2.6 (GDP)'!M$13</f>
        <v>0.14402744932904538</v>
      </c>
      <c r="F37" s="4">
        <f>'REMIND SSP2-RCP2.6'!F37/'REMIND SSP2-RCP2.6 (GDP)'!N$14*'REMIND SSP2-RCP2.6 (GDP)'!N$13</f>
        <v>1.2001722604608323E-2</v>
      </c>
      <c r="G37" s="4">
        <f>'REMIND SSP2-RCP2.6'!G37/'REMIND SSP2-RCP2.6 (GDP)'!O$14*'REMIND SSP2-RCP2.6 (GDP)'!O$13</f>
        <v>3.1546661470455442E-2</v>
      </c>
      <c r="H37" s="4">
        <f>'REMIND SSP2-RCP2.6'!H37/'REMIND SSP2-RCP2.6 (GDP)'!P$14*'REMIND SSP2-RCP2.6 (GDP)'!P$13</f>
        <v>6.2953836107196032E-3</v>
      </c>
    </row>
    <row r="38" spans="1:8" x14ac:dyDescent="0.35">
      <c r="A38" s="30"/>
      <c r="B38" s="3" t="s">
        <v>12</v>
      </c>
      <c r="C38" s="4">
        <f>'REMIND SSP2-RCP2.6'!C38/'REMIND SSP2-RCP2.6 (GDP)'!K$14*'REMIND SSP2-RCP2.6 (GDP)'!K$13</f>
        <v>-0.20312062796488128</v>
      </c>
      <c r="D38" s="4">
        <f>'REMIND SSP2-RCP2.6'!D38/'REMIND SSP2-RCP2.6 (GDP)'!L$14*'REMIND SSP2-RCP2.6 (GDP)'!L$13</f>
        <v>0.70119503051008769</v>
      </c>
      <c r="E38" s="4">
        <f>'REMIND SSP2-RCP2.6'!E38/'REMIND SSP2-RCP2.6 (GDP)'!M$14*'REMIND SSP2-RCP2.6 (GDP)'!M$13</f>
        <v>2.2153254295272786E-2</v>
      </c>
      <c r="F38" s="4">
        <f>'REMIND SSP2-RCP2.6'!F38/'REMIND SSP2-RCP2.6 (GDP)'!N$14*'REMIND SSP2-RCP2.6 (GDP)'!N$13</f>
        <v>4.2091535236712255E-3</v>
      </c>
      <c r="G38" s="4">
        <f>'REMIND SSP2-RCP2.6'!G38/'REMIND SSP2-RCP2.6 (GDP)'!O$14*'REMIND SSP2-RCP2.6 (GDP)'!O$13</f>
        <v>8.0119260296744113E-3</v>
      </c>
      <c r="H38" s="4">
        <f>'REMIND SSP2-RCP2.6'!H38/'REMIND SSP2-RCP2.6 (GDP)'!P$14*'REMIND SSP2-RCP2.6 (GDP)'!P$13</f>
        <v>3.5052577055320043E-3</v>
      </c>
    </row>
    <row r="39" spans="1:8" x14ac:dyDescent="0.35">
      <c r="A39" s="30"/>
      <c r="B39" s="3" t="s">
        <v>13</v>
      </c>
      <c r="C39" s="4">
        <f>'REMIND SSP2-RCP2.6'!C39/'REMIND SSP2-RCP2.6 (GDP)'!K$14*'REMIND SSP2-RCP2.6 (GDP)'!K$13</f>
        <v>9.9755836240121697E-3</v>
      </c>
      <c r="D39" s="4">
        <f>'REMIND SSP2-RCP2.6'!D39/'REMIND SSP2-RCP2.6 (GDP)'!L$14*'REMIND SSP2-RCP2.6 (GDP)'!L$13</f>
        <v>1.0626824240539231E-2</v>
      </c>
      <c r="E39" s="4">
        <f>'REMIND SSP2-RCP2.6'!E39/'REMIND SSP2-RCP2.6 (GDP)'!M$14*'REMIND SSP2-RCP2.6 (GDP)'!M$13</f>
        <v>7.4942097836915245E-2</v>
      </c>
      <c r="F39" s="4">
        <f>'REMIND SSP2-RCP2.6'!F39/'REMIND SSP2-RCP2.6 (GDP)'!N$14*'REMIND SSP2-RCP2.6 (GDP)'!N$13</f>
        <v>5.0781884733943012E-3</v>
      </c>
      <c r="G39" s="4">
        <f>'REMIND SSP2-RCP2.6'!G39/'REMIND SSP2-RCP2.6 (GDP)'!O$14*'REMIND SSP2-RCP2.6 (GDP)'!O$13</f>
        <v>9.2468478305291705E-3</v>
      </c>
      <c r="H39" s="4">
        <f>'REMIND SSP2-RCP2.6'!H39/'REMIND SSP2-RCP2.6 (GDP)'!P$14*'REMIND SSP2-RCP2.6 (GDP)'!P$13</f>
        <v>4.3261510211909833E-3</v>
      </c>
    </row>
    <row r="40" spans="1:8" x14ac:dyDescent="0.35">
      <c r="A40" s="30"/>
      <c r="B40" s="3" t="s">
        <v>14</v>
      </c>
      <c r="C40" s="4">
        <f>'REMIND SSP2-RCP2.6'!C40/'REMIND SSP2-RCP2.6 (GDP)'!K$14*'REMIND SSP2-RCP2.6 (GDP)'!K$13</f>
        <v>0</v>
      </c>
      <c r="D40" s="4">
        <f>'REMIND SSP2-RCP2.6'!D40/'REMIND SSP2-RCP2.6 (GDP)'!L$14*'REMIND SSP2-RCP2.6 (GDP)'!L$13</f>
        <v>0</v>
      </c>
      <c r="E40" s="4">
        <f>'REMIND SSP2-RCP2.6'!E40/'REMIND SSP2-RCP2.6 (GDP)'!M$14*'REMIND SSP2-RCP2.6 (GDP)'!M$13</f>
        <v>0</v>
      </c>
      <c r="F40" s="4">
        <f>'REMIND SSP2-RCP2.6'!F40/'REMIND SSP2-RCP2.6 (GDP)'!N$14*'REMIND SSP2-RCP2.6 (GDP)'!N$13</f>
        <v>0</v>
      </c>
      <c r="G40" s="4">
        <f>'REMIND SSP2-RCP2.6'!G40/'REMIND SSP2-RCP2.6 (GDP)'!O$14*'REMIND SSP2-RCP2.6 (GDP)'!O$13</f>
        <v>0</v>
      </c>
      <c r="H40" s="4">
        <f>'REMIND SSP2-RCP2.6'!H40/'REMIND SSP2-RCP2.6 (GDP)'!P$14*'REMIND SSP2-RCP2.6 (GDP)'!P$13</f>
        <v>0</v>
      </c>
    </row>
    <row r="41" spans="1:8" x14ac:dyDescent="0.35">
      <c r="A41" s="30"/>
      <c r="B41" s="3" t="s">
        <v>15</v>
      </c>
      <c r="C41" s="4">
        <f>'REMIND SSP2-RCP2.6'!C41/'REMIND SSP2-RCP2.6 (GDP)'!K$14*'REMIND SSP2-RCP2.6 (GDP)'!K$13</f>
        <v>2.0267140240825472</v>
      </c>
      <c r="D41" s="4">
        <f>'REMIND SSP2-RCP2.6'!D41/'REMIND SSP2-RCP2.6 (GDP)'!L$14*'REMIND SSP2-RCP2.6 (GDP)'!L$13</f>
        <v>2.0404386924820908</v>
      </c>
      <c r="E41" s="4">
        <f>'REMIND SSP2-RCP2.6'!E41/'REMIND SSP2-RCP2.6 (GDP)'!M$14*'REMIND SSP2-RCP2.6 (GDP)'!M$13</f>
        <v>0.57674539767988886</v>
      </c>
      <c r="F41" s="4">
        <f>'REMIND SSP2-RCP2.6'!F41/'REMIND SSP2-RCP2.6 (GDP)'!N$14*'REMIND SSP2-RCP2.6 (GDP)'!N$13</f>
        <v>2.8131947830303688E-2</v>
      </c>
      <c r="G41" s="4">
        <f>'REMIND SSP2-RCP2.6'!G41/'REMIND SSP2-RCP2.6 (GDP)'!O$14*'REMIND SSP2-RCP2.6 (GDP)'!O$13</f>
        <v>0.15145426371909945</v>
      </c>
      <c r="H41" s="4">
        <f>'REMIND SSP2-RCP2.6'!H41/'REMIND SSP2-RCP2.6 (GDP)'!P$14*'REMIND SSP2-RCP2.6 (GDP)'!P$13</f>
        <v>2.1449109642490638E-2</v>
      </c>
    </row>
    <row r="42" spans="1:8" x14ac:dyDescent="0.35">
      <c r="A42" s="30" t="s">
        <v>23</v>
      </c>
      <c r="B42" s="3" t="s">
        <v>16</v>
      </c>
      <c r="C42" s="4">
        <f>'REMIND SSP2-RCP2.6'!C42/'REMIND SSP2-RCP2.6 (GDP)'!K$14*'REMIND SSP2-RCP2.6 (GDP)'!K$13</f>
        <v>1.0332829962259993</v>
      </c>
      <c r="D42" s="4">
        <f>'REMIND SSP2-RCP2.6'!D42/'REMIND SSP2-RCP2.6 (GDP)'!L$14*'REMIND SSP2-RCP2.6 (GDP)'!L$13</f>
        <v>0.5200997440466768</v>
      </c>
      <c r="E42" s="4">
        <f>'REMIND SSP2-RCP2.6'!E42/'REMIND SSP2-RCP2.6 (GDP)'!M$14*'REMIND SSP2-RCP2.6 (GDP)'!M$13</f>
        <v>0</v>
      </c>
      <c r="F42" s="4">
        <f>'REMIND SSP2-RCP2.6'!F42/'REMIND SSP2-RCP2.6 (GDP)'!N$14*'REMIND SSP2-RCP2.6 (GDP)'!N$13</f>
        <v>0</v>
      </c>
      <c r="G42" s="4">
        <f>'REMIND SSP2-RCP2.6'!G42/'REMIND SSP2-RCP2.6 (GDP)'!O$14*'REMIND SSP2-RCP2.6 (GDP)'!O$13</f>
        <v>0</v>
      </c>
      <c r="H42" s="4">
        <f>'REMIND SSP2-RCP2.6'!H42/'REMIND SSP2-RCP2.6 (GDP)'!P$14*'REMIND SSP2-RCP2.6 (GDP)'!P$13</f>
        <v>0</v>
      </c>
    </row>
    <row r="43" spans="1:8" x14ac:dyDescent="0.35">
      <c r="A43" s="30"/>
      <c r="B43" s="3" t="s">
        <v>9</v>
      </c>
      <c r="C43" s="4">
        <f>'REMIND SSP2-RCP2.6'!C43/'REMIND SSP2-RCP2.6 (GDP)'!K$14*'REMIND SSP2-RCP2.6 (GDP)'!K$13</f>
        <v>0.63207678477026707</v>
      </c>
      <c r="D43" s="4">
        <f>'REMIND SSP2-RCP2.6'!D43/'REMIND SSP2-RCP2.6 (GDP)'!L$14*'REMIND SSP2-RCP2.6 (GDP)'!L$13</f>
        <v>0.31835905045731805</v>
      </c>
      <c r="E43" s="4">
        <f>'REMIND SSP2-RCP2.6'!E43/'REMIND SSP2-RCP2.6 (GDP)'!M$14*'REMIND SSP2-RCP2.6 (GDP)'!M$13</f>
        <v>3.9538796289940607E-4</v>
      </c>
      <c r="F43" s="4">
        <f>'REMIND SSP2-RCP2.6'!F43/'REMIND SSP2-RCP2.6 (GDP)'!N$14*'REMIND SSP2-RCP2.6 (GDP)'!N$13</f>
        <v>2.0509435522782128E-5</v>
      </c>
      <c r="G43" s="4">
        <f>'REMIND SSP2-RCP2.6'!G43/'REMIND SSP2-RCP2.6 (GDP)'!O$14*'REMIND SSP2-RCP2.6 (GDP)'!O$13</f>
        <v>9.9071572290635943E-5</v>
      </c>
      <c r="H43" s="4">
        <f>'REMIND SSP2-RCP2.6'!H43/'REMIND SSP2-RCP2.6 (GDP)'!P$14*'REMIND SSP2-RCP2.6 (GDP)'!P$13</f>
        <v>1.0020188432569115E-4</v>
      </c>
    </row>
    <row r="44" spans="1:8" x14ac:dyDescent="0.35">
      <c r="A44" s="30"/>
      <c r="B44" s="3" t="s">
        <v>10</v>
      </c>
      <c r="C44" s="4">
        <f>'REMIND SSP2-RCP2.6'!C44/'REMIND SSP2-RCP2.6 (GDP)'!K$14*'REMIND SSP2-RCP2.6 (GDP)'!K$13</f>
        <v>0</v>
      </c>
      <c r="D44" s="4">
        <f>'REMIND SSP2-RCP2.6'!D44/'REMIND SSP2-RCP2.6 (GDP)'!L$14*'REMIND SSP2-RCP2.6 (GDP)'!L$13</f>
        <v>0</v>
      </c>
      <c r="E44" s="4">
        <f>'REMIND SSP2-RCP2.6'!E44/'REMIND SSP2-RCP2.6 (GDP)'!M$14*'REMIND SSP2-RCP2.6 (GDP)'!M$13</f>
        <v>0</v>
      </c>
      <c r="F44" s="4">
        <f>'REMIND SSP2-RCP2.6'!F44/'REMIND SSP2-RCP2.6 (GDP)'!N$14*'REMIND SSP2-RCP2.6 (GDP)'!N$13</f>
        <v>0</v>
      </c>
      <c r="G44" s="4">
        <f>'REMIND SSP2-RCP2.6'!G44/'REMIND SSP2-RCP2.6 (GDP)'!O$14*'REMIND SSP2-RCP2.6 (GDP)'!O$13</f>
        <v>0</v>
      </c>
      <c r="H44" s="4">
        <f>'REMIND SSP2-RCP2.6'!H44/'REMIND SSP2-RCP2.6 (GDP)'!P$14*'REMIND SSP2-RCP2.6 (GDP)'!P$13</f>
        <v>0</v>
      </c>
    </row>
    <row r="45" spans="1:8" x14ac:dyDescent="0.35">
      <c r="A45" s="30"/>
      <c r="B45" s="3" t="s">
        <v>11</v>
      </c>
      <c r="C45" s="4">
        <f>'REMIND SSP2-RCP2.6'!C45/'REMIND SSP2-RCP2.6 (GDP)'!K$14*'REMIND SSP2-RCP2.6 (GDP)'!K$13</f>
        <v>1.8864240930541929E-2</v>
      </c>
      <c r="D45" s="4">
        <f>'REMIND SSP2-RCP2.6'!D45/'REMIND SSP2-RCP2.6 (GDP)'!L$14*'REMIND SSP2-RCP2.6 (GDP)'!L$13</f>
        <v>0.10610547282812624</v>
      </c>
      <c r="E45" s="4">
        <f>'REMIND SSP2-RCP2.6'!E45/'REMIND SSP2-RCP2.6 (GDP)'!M$14*'REMIND SSP2-RCP2.6 (GDP)'!M$13</f>
        <v>0.40758192561567735</v>
      </c>
      <c r="F45" s="4">
        <f>'REMIND SSP2-RCP2.6'!F45/'REMIND SSP2-RCP2.6 (GDP)'!N$14*'REMIND SSP2-RCP2.6 (GDP)'!N$13</f>
        <v>3.3963562034039156E-2</v>
      </c>
      <c r="G45" s="4">
        <f>'REMIND SSP2-RCP2.6'!G45/'REMIND SSP2-RCP2.6 (GDP)'!O$14*'REMIND SSP2-RCP2.6 (GDP)'!O$13</f>
        <v>8.927360089186237E-2</v>
      </c>
      <c r="H45" s="4">
        <f>'REMIND SSP2-RCP2.6'!H45/'REMIND SSP2-RCP2.6 (GDP)'!P$14*'REMIND SSP2-RCP2.6 (GDP)'!P$13</f>
        <v>1.7815246930357326E-2</v>
      </c>
    </row>
    <row r="46" spans="1:8" x14ac:dyDescent="0.35">
      <c r="A46" s="30"/>
      <c r="B46" s="3" t="s">
        <v>12</v>
      </c>
      <c r="C46" s="4">
        <f>'REMIND SSP2-RCP2.6'!C46/'REMIND SSP2-RCP2.6 (GDP)'!K$14*'REMIND SSP2-RCP2.6 (GDP)'!K$13</f>
        <v>-0.61762972354502688</v>
      </c>
      <c r="D46" s="4">
        <f>'REMIND SSP2-RCP2.6'!D46/'REMIND SSP2-RCP2.6 (GDP)'!L$14*'REMIND SSP2-RCP2.6 (GDP)'!L$13</f>
        <v>1.9627516310201223</v>
      </c>
      <c r="E46" s="4">
        <f>'REMIND SSP2-RCP2.6'!E46/'REMIND SSP2-RCP2.6 (GDP)'!M$14*'REMIND SSP2-RCP2.6 (GDP)'!M$13</f>
        <v>6.2691286184571537E-2</v>
      </c>
      <c r="F46" s="4">
        <f>'REMIND SSP2-RCP2.6'!F46/'REMIND SSP2-RCP2.6 (GDP)'!N$14*'REMIND SSP2-RCP2.6 (GDP)'!N$13</f>
        <v>1.1911444008638427E-2</v>
      </c>
      <c r="G46" s="4">
        <f>'REMIND SSP2-RCP2.6'!G46/'REMIND SSP2-RCP2.6 (GDP)'!O$14*'REMIND SSP2-RCP2.6 (GDP)'!O$13</f>
        <v>2.2672874193617507E-2</v>
      </c>
      <c r="H46" s="4">
        <f>'REMIND SSP2-RCP2.6'!H46/'REMIND SSP2-RCP2.6 (GDP)'!P$14*'REMIND SSP2-RCP2.6 (GDP)'!P$13</f>
        <v>9.9194958464893825E-3</v>
      </c>
    </row>
    <row r="47" spans="1:8" x14ac:dyDescent="0.35">
      <c r="A47" s="30"/>
      <c r="B47" s="3" t="s">
        <v>13</v>
      </c>
      <c r="C47" s="4">
        <f>'REMIND SSP2-RCP2.6'!C47/'REMIND SSP2-RCP2.6 (GDP)'!K$14*'REMIND SSP2-RCP2.6 (GDP)'!K$13</f>
        <v>2.9677804085212582E-2</v>
      </c>
      <c r="D47" s="4">
        <f>'REMIND SSP2-RCP2.6'!D47/'REMIND SSP2-RCP2.6 (GDP)'!L$14*'REMIND SSP2-RCP2.6 (GDP)'!L$13</f>
        <v>3.0801593150984297E-2</v>
      </c>
      <c r="E47" s="4">
        <f>'REMIND SSP2-RCP2.6'!E47/'REMIND SSP2-RCP2.6 (GDP)'!M$14*'REMIND SSP2-RCP2.6 (GDP)'!M$13</f>
        <v>0.21207793853423823</v>
      </c>
      <c r="F47" s="4">
        <f>'REMIND SSP2-RCP2.6'!F47/'REMIND SSP2-RCP2.6 (GDP)'!N$14*'REMIND SSP2-RCP2.6 (GDP)'!N$13</f>
        <v>1.4370717847656717E-2</v>
      </c>
      <c r="G47" s="4">
        <f>'REMIND SSP2-RCP2.6'!G47/'REMIND SSP2-RCP2.6 (GDP)'!O$14*'REMIND SSP2-RCP2.6 (GDP)'!O$13</f>
        <v>2.616756779488548E-2</v>
      </c>
      <c r="H47" s="4">
        <f>'REMIND SSP2-RCP2.6'!H47/'REMIND SSP2-RCP2.6 (GDP)'!P$14*'REMIND SSP2-RCP2.6 (GDP)'!P$13</f>
        <v>1.2242534127594674E-2</v>
      </c>
    </row>
    <row r="48" spans="1:8" x14ac:dyDescent="0.35">
      <c r="A48" s="30"/>
      <c r="B48" s="3" t="s">
        <v>14</v>
      </c>
      <c r="C48" s="4">
        <f>'REMIND SSP2-RCP2.6'!C48/'REMIND SSP2-RCP2.6 (GDP)'!K$14*'REMIND SSP2-RCP2.6 (GDP)'!K$13</f>
        <v>0</v>
      </c>
      <c r="D48" s="4">
        <f>'REMIND SSP2-RCP2.6'!D48/'REMIND SSP2-RCP2.6 (GDP)'!L$14*'REMIND SSP2-RCP2.6 (GDP)'!L$13</f>
        <v>0</v>
      </c>
      <c r="E48" s="4">
        <f>'REMIND SSP2-RCP2.6'!E48/'REMIND SSP2-RCP2.6 (GDP)'!M$14*'REMIND SSP2-RCP2.6 (GDP)'!M$13</f>
        <v>0</v>
      </c>
      <c r="F48" s="4">
        <f>'REMIND SSP2-RCP2.6'!F48/'REMIND SSP2-RCP2.6 (GDP)'!N$14*'REMIND SSP2-RCP2.6 (GDP)'!N$13</f>
        <v>0</v>
      </c>
      <c r="G48" s="4">
        <f>'REMIND SSP2-RCP2.6'!G48/'REMIND SSP2-RCP2.6 (GDP)'!O$14*'REMIND SSP2-RCP2.6 (GDP)'!O$13</f>
        <v>0</v>
      </c>
      <c r="H48" s="4">
        <f>'REMIND SSP2-RCP2.6'!H48/'REMIND SSP2-RCP2.6 (GDP)'!P$14*'REMIND SSP2-RCP2.6 (GDP)'!P$13</f>
        <v>0</v>
      </c>
    </row>
    <row r="49" spans="1:8" x14ac:dyDescent="0.35">
      <c r="A49" s="30"/>
      <c r="B49" s="3" t="s">
        <v>15</v>
      </c>
      <c r="C49" s="4">
        <f>'REMIND SSP2-RCP2.6'!C49/'REMIND SSP2-RCP2.6 (GDP)'!K$14*'REMIND SSP2-RCP2.6 (GDP)'!K$13</f>
        <v>1.0962721024669939</v>
      </c>
      <c r="D49" s="4">
        <f>'REMIND SSP2-RCP2.6'!D49/'REMIND SSP2-RCP2.6 (GDP)'!L$14*'REMIND SSP2-RCP2.6 (GDP)'!L$13</f>
        <v>2.9381174915032275</v>
      </c>
      <c r="E49" s="4">
        <f>'REMIND SSP2-RCP2.6'!E49/'REMIND SSP2-RCP2.6 (GDP)'!M$14*'REMIND SSP2-RCP2.6 (GDP)'!M$13</f>
        <v>0.68274653829738652</v>
      </c>
      <c r="F49" s="4">
        <f>'REMIND SSP2-RCP2.6'!F49/'REMIND SSP2-RCP2.6 (GDP)'!N$14*'REMIND SSP2-RCP2.6 (GDP)'!N$13</f>
        <v>6.026623332585708E-2</v>
      </c>
      <c r="G49" s="4">
        <f>'REMIND SSP2-RCP2.6'!G49/'REMIND SSP2-RCP2.6 (GDP)'!O$14*'REMIND SSP2-RCP2.6 (GDP)'!O$13</f>
        <v>0.13821311445265597</v>
      </c>
      <c r="H49" s="4">
        <f>'REMIND SSP2-RCP2.6'!H49/'REMIND SSP2-RCP2.6 (GDP)'!P$14*'REMIND SSP2-RCP2.6 (GDP)'!P$13</f>
        <v>4.0077478788767079E-2</v>
      </c>
    </row>
    <row r="50" spans="1:8" x14ac:dyDescent="0.35">
      <c r="A50" s="30" t="s">
        <v>24</v>
      </c>
      <c r="B50" s="3" t="s">
        <v>16</v>
      </c>
      <c r="C50" s="4">
        <f>'REMIND SSP2-RCP2.6'!C50/'REMIND SSP2-RCP2.6 (GDP)'!K$14*'REMIND SSP2-RCP2.6 (GDP)'!K$13</f>
        <v>1.0332829962259993</v>
      </c>
      <c r="D50" s="4">
        <f>'REMIND SSP2-RCP2.6'!D50/'REMIND SSP2-RCP2.6 (GDP)'!L$14*'REMIND SSP2-RCP2.6 (GDP)'!L$13</f>
        <v>0.5200997440466768</v>
      </c>
      <c r="E50" s="4">
        <f>'REMIND SSP2-RCP2.6'!E50/'REMIND SSP2-RCP2.6 (GDP)'!M$14*'REMIND SSP2-RCP2.6 (GDP)'!M$13</f>
        <v>0</v>
      </c>
      <c r="F50" s="4">
        <f>'REMIND SSP2-RCP2.6'!F50/'REMIND SSP2-RCP2.6 (GDP)'!N$14*'REMIND SSP2-RCP2.6 (GDP)'!N$13</f>
        <v>0</v>
      </c>
      <c r="G50" s="4">
        <f>'REMIND SSP2-RCP2.6'!G50/'REMIND SSP2-RCP2.6 (GDP)'!O$14*'REMIND SSP2-RCP2.6 (GDP)'!O$13</f>
        <v>0</v>
      </c>
      <c r="H50" s="4">
        <f>'REMIND SSP2-RCP2.6'!H50/'REMIND SSP2-RCP2.6 (GDP)'!P$14*'REMIND SSP2-RCP2.6 (GDP)'!P$13</f>
        <v>0</v>
      </c>
    </row>
    <row r="51" spans="1:8" x14ac:dyDescent="0.35">
      <c r="A51" s="30"/>
      <c r="B51" s="3" t="s">
        <v>9</v>
      </c>
      <c r="C51" s="4">
        <f>'REMIND SSP2-RCP2.6'!C51/'REMIND SSP2-RCP2.6 (GDP)'!K$14*'REMIND SSP2-RCP2.6 (GDP)'!K$13</f>
        <v>0.63207678477026707</v>
      </c>
      <c r="D51" s="4">
        <f>'REMIND SSP2-RCP2.6'!D51/'REMIND SSP2-RCP2.6 (GDP)'!L$14*'REMIND SSP2-RCP2.6 (GDP)'!L$13</f>
        <v>0.31835905045731805</v>
      </c>
      <c r="E51" s="4">
        <f>'REMIND SSP2-RCP2.6'!E51/'REMIND SSP2-RCP2.6 (GDP)'!M$14*'REMIND SSP2-RCP2.6 (GDP)'!M$13</f>
        <v>3.9538796289940607E-4</v>
      </c>
      <c r="F51" s="4">
        <f>'REMIND SSP2-RCP2.6'!F51/'REMIND SSP2-RCP2.6 (GDP)'!N$14*'REMIND SSP2-RCP2.6 (GDP)'!N$13</f>
        <v>2.0509435522782128E-5</v>
      </c>
      <c r="G51" s="4">
        <f>'REMIND SSP2-RCP2.6'!G51/'REMIND SSP2-RCP2.6 (GDP)'!O$14*'REMIND SSP2-RCP2.6 (GDP)'!O$13</f>
        <v>9.9071572290635943E-5</v>
      </c>
      <c r="H51" s="4">
        <f>'REMIND SSP2-RCP2.6'!H51/'REMIND SSP2-RCP2.6 (GDP)'!P$14*'REMIND SSP2-RCP2.6 (GDP)'!P$13</f>
        <v>1.0020188432569115E-4</v>
      </c>
    </row>
    <row r="52" spans="1:8" x14ac:dyDescent="0.35">
      <c r="A52" s="30"/>
      <c r="B52" s="3" t="s">
        <v>10</v>
      </c>
      <c r="C52" s="4">
        <f>'REMIND SSP2-RCP2.6'!C52/'REMIND SSP2-RCP2.6 (GDP)'!K$14*'REMIND SSP2-RCP2.6 (GDP)'!K$13</f>
        <v>0</v>
      </c>
      <c r="D52" s="4">
        <f>'REMIND SSP2-RCP2.6'!D52/'REMIND SSP2-RCP2.6 (GDP)'!L$14*'REMIND SSP2-RCP2.6 (GDP)'!L$13</f>
        <v>0</v>
      </c>
      <c r="E52" s="4">
        <f>'REMIND SSP2-RCP2.6'!E52/'REMIND SSP2-RCP2.6 (GDP)'!M$14*'REMIND SSP2-RCP2.6 (GDP)'!M$13</f>
        <v>0</v>
      </c>
      <c r="F52" s="4">
        <f>'REMIND SSP2-RCP2.6'!F52/'REMIND SSP2-RCP2.6 (GDP)'!N$14*'REMIND SSP2-RCP2.6 (GDP)'!N$13</f>
        <v>0</v>
      </c>
      <c r="G52" s="4">
        <f>'REMIND SSP2-RCP2.6'!G52/'REMIND SSP2-RCP2.6 (GDP)'!O$14*'REMIND SSP2-RCP2.6 (GDP)'!O$13</f>
        <v>0</v>
      </c>
      <c r="H52" s="4">
        <f>'REMIND SSP2-RCP2.6'!H52/'REMIND SSP2-RCP2.6 (GDP)'!P$14*'REMIND SSP2-RCP2.6 (GDP)'!P$13</f>
        <v>0</v>
      </c>
    </row>
    <row r="53" spans="1:8" x14ac:dyDescent="0.35">
      <c r="A53" s="30"/>
      <c r="B53" s="3" t="s">
        <v>11</v>
      </c>
      <c r="C53" s="4">
        <f>'REMIND SSP2-RCP2.6'!C53/'REMIND SSP2-RCP2.6 (GDP)'!K$14*'REMIND SSP2-RCP2.6 (GDP)'!K$13</f>
        <v>6.8465886662529875E-3</v>
      </c>
      <c r="D53" s="4">
        <f>'REMIND SSP2-RCP2.6'!D53/'REMIND SSP2-RCP2.6 (GDP)'!L$14*'REMIND SSP2-RCP2.6 (GDP)'!L$13</f>
        <v>3.7543932337055747E-2</v>
      </c>
      <c r="E53" s="4">
        <f>'REMIND SSP2-RCP2.6'!E53/'REMIND SSP2-RCP2.6 (GDP)'!M$14*'REMIND SSP2-RCP2.6 (GDP)'!M$13</f>
        <v>0.14385244433494498</v>
      </c>
      <c r="F53" s="4">
        <f>'REMIND SSP2-RCP2.6'!F53/'REMIND SSP2-RCP2.6 (GDP)'!N$14*'REMIND SSP2-RCP2.6 (GDP)'!N$13</f>
        <v>1.1987139541425586E-2</v>
      </c>
      <c r="G53" s="4">
        <f>'REMIND SSP2-RCP2.6'!G53/'REMIND SSP2-RCP2.6 (GDP)'!O$14*'REMIND SSP2-RCP2.6 (GDP)'!O$13</f>
        <v>3.1508329726539656E-2</v>
      </c>
      <c r="H53" s="4">
        <f>'REMIND SSP2-RCP2.6'!H53/'REMIND SSP2-RCP2.6 (GDP)'!P$14*'REMIND SSP2-RCP2.6 (GDP)'!P$13</f>
        <v>6.2877342107143519E-3</v>
      </c>
    </row>
    <row r="54" spans="1:8" x14ac:dyDescent="0.35">
      <c r="A54" s="30"/>
      <c r="B54" s="3" t="s">
        <v>12</v>
      </c>
      <c r="C54" s="4">
        <f>'REMIND SSP2-RCP2.6'!C54/'REMIND SSP2-RCP2.6 (GDP)'!K$14*'REMIND SSP2-RCP2.6 (GDP)'!K$13</f>
        <v>-0.21727338067337909</v>
      </c>
      <c r="D54" s="4">
        <f>'REMIND SSP2-RCP2.6'!D54/'REMIND SSP2-RCP2.6 (GDP)'!L$14*'REMIND SSP2-RCP2.6 (GDP)'!L$13</f>
        <v>0.69309504830975877</v>
      </c>
      <c r="E54" s="4">
        <f>'REMIND SSP2-RCP2.6'!E54/'REMIND SSP2-RCP2.6 (GDP)'!M$14*'REMIND SSP2-RCP2.6 (GDP)'!M$13</f>
        <v>2.2126336300437015E-2</v>
      </c>
      <c r="F54" s="4">
        <f>'REMIND SSP2-RCP2.6'!F54/'REMIND SSP2-RCP2.6 (GDP)'!N$14*'REMIND SSP2-RCP2.6 (GDP)'!N$13</f>
        <v>4.2040390618723854E-3</v>
      </c>
      <c r="G54" s="4">
        <f>'REMIND SSP2-RCP2.6'!G54/'REMIND SSP2-RCP2.6 (GDP)'!O$14*'REMIND SSP2-RCP2.6 (GDP)'!O$13</f>
        <v>8.0021908918649996E-3</v>
      </c>
      <c r="H54" s="4">
        <f>'REMIND SSP2-RCP2.6'!H54/'REMIND SSP2-RCP2.6 (GDP)'!P$14*'REMIND SSP2-RCP2.6 (GDP)'!P$13</f>
        <v>3.5009985340550762E-3</v>
      </c>
    </row>
    <row r="55" spans="1:8" x14ac:dyDescent="0.35">
      <c r="A55" s="30"/>
      <c r="B55" s="3" t="s">
        <v>13</v>
      </c>
      <c r="C55" s="4">
        <f>'REMIND SSP2-RCP2.6'!C55/'REMIND SSP2-RCP2.6 (GDP)'!K$14*'REMIND SSP2-RCP2.6 (GDP)'!K$13</f>
        <v>0.13696751231444976</v>
      </c>
      <c r="D55" s="4">
        <f>'REMIND SSP2-RCP2.6'!D55/'REMIND SSP2-RCP2.6 (GDP)'!L$14*'REMIND SSP2-RCP2.6 (GDP)'!L$13</f>
        <v>0.14297119763738214</v>
      </c>
      <c r="E55" s="4">
        <f>'REMIND SSP2-RCP2.6'!E55/'REMIND SSP2-RCP2.6 (GDP)'!M$14*'REMIND SSP2-RCP2.6 (GDP)'!M$13</f>
        <v>0.98969704649311174</v>
      </c>
      <c r="F55" s="4">
        <f>'REMIND SSP2-RCP2.6'!F55/'REMIND SSP2-RCP2.6 (GDP)'!N$14*'REMIND SSP2-RCP2.6 (GDP)'!N$13</f>
        <v>6.7063349955731363E-2</v>
      </c>
      <c r="G55" s="4">
        <f>'REMIND SSP2-RCP2.6'!G55/'REMIND SSP2-RCP2.6 (GDP)'!O$14*'REMIND SSP2-RCP2.6 (GDP)'!O$13</f>
        <v>0.12211531637613222</v>
      </c>
      <c r="H55" s="4">
        <f>'REMIND SSP2-RCP2.6'!H55/'REMIND SSP2-RCP2.6 (GDP)'!P$14*'REMIND SSP2-RCP2.6 (GDP)'!P$13</f>
        <v>5.7131825928775151E-2</v>
      </c>
    </row>
    <row r="56" spans="1:8" x14ac:dyDescent="0.35">
      <c r="A56" s="30"/>
      <c r="B56" s="3" t="s">
        <v>14</v>
      </c>
      <c r="C56" s="4">
        <f>'REMIND SSP2-RCP2.6'!C56/'REMIND SSP2-RCP2.6 (GDP)'!K$14*'REMIND SSP2-RCP2.6 (GDP)'!K$13</f>
        <v>0</v>
      </c>
      <c r="D56" s="4">
        <f>'REMIND SSP2-RCP2.6'!D56/'REMIND SSP2-RCP2.6 (GDP)'!L$14*'REMIND SSP2-RCP2.6 (GDP)'!L$13</f>
        <v>0</v>
      </c>
      <c r="E56" s="4">
        <f>'REMIND SSP2-RCP2.6'!E56/'REMIND SSP2-RCP2.6 (GDP)'!M$14*'REMIND SSP2-RCP2.6 (GDP)'!M$13</f>
        <v>0</v>
      </c>
      <c r="F56" s="4">
        <f>'REMIND SSP2-RCP2.6'!F56/'REMIND SSP2-RCP2.6 (GDP)'!N$14*'REMIND SSP2-RCP2.6 (GDP)'!N$13</f>
        <v>0</v>
      </c>
      <c r="G56" s="4">
        <f>'REMIND SSP2-RCP2.6'!G56/'REMIND SSP2-RCP2.6 (GDP)'!O$14*'REMIND SSP2-RCP2.6 (GDP)'!O$13</f>
        <v>0</v>
      </c>
      <c r="H56" s="4">
        <f>'REMIND SSP2-RCP2.6'!H56/'REMIND SSP2-RCP2.6 (GDP)'!P$14*'REMIND SSP2-RCP2.6 (GDP)'!P$13</f>
        <v>0</v>
      </c>
    </row>
    <row r="57" spans="1:8" x14ac:dyDescent="0.35">
      <c r="A57" s="30"/>
      <c r="B57" s="3" t="s">
        <v>15</v>
      </c>
      <c r="C57" s="4">
        <f>'REMIND SSP2-RCP2.6'!C57/'REMIND SSP2-RCP2.6 (GDP)'!K$14*'REMIND SSP2-RCP2.6 (GDP)'!K$13</f>
        <v>1.5919005013035898</v>
      </c>
      <c r="D57" s="4">
        <f>'REMIND SSP2-RCP2.6'!D57/'REMIND SSP2-RCP2.6 (GDP)'!L$14*'REMIND SSP2-RCP2.6 (GDP)'!L$13</f>
        <v>1.7120689727881917</v>
      </c>
      <c r="E57" s="4">
        <f>'REMIND SSP2-RCP2.6'!E57/'REMIND SSP2-RCP2.6 (GDP)'!M$14*'REMIND SSP2-RCP2.6 (GDP)'!M$13</f>
        <v>1.156071215091393</v>
      </c>
      <c r="F57" s="4">
        <f>'REMIND SSP2-RCP2.6'!F57/'REMIND SSP2-RCP2.6 (GDP)'!N$14*'REMIND SSP2-RCP2.6 (GDP)'!N$13</f>
        <v>8.3275037994552117E-2</v>
      </c>
      <c r="G57" s="4">
        <f>'REMIND SSP2-RCP2.6'!G57/'REMIND SSP2-RCP2.6 (GDP)'!O$14*'REMIND SSP2-RCP2.6 (GDP)'!O$13</f>
        <v>0.1617249085668275</v>
      </c>
      <c r="H57" s="4">
        <f>'REMIND SSP2-RCP2.6'!H57/'REMIND SSP2-RCP2.6 (GDP)'!P$14*'REMIND SSP2-RCP2.6 (GDP)'!P$13</f>
        <v>6.7020760557870263E-2</v>
      </c>
    </row>
    <row r="58" spans="1:8" x14ac:dyDescent="0.35">
      <c r="A58" s="30" t="s">
        <v>21</v>
      </c>
      <c r="B58" s="3" t="s">
        <v>16</v>
      </c>
      <c r="C58" s="4">
        <f>'REMIND SSP2-RCP2.6'!C58/'REMIND SSP2-RCP2.6 (GDP)'!K$14*'REMIND SSP2-RCP2.6 (GDP)'!K$13</f>
        <v>1.0332829962259993</v>
      </c>
      <c r="D58" s="4">
        <f>'REMIND SSP2-RCP2.6'!D58/'REMIND SSP2-RCP2.6 (GDP)'!L$14*'REMIND SSP2-RCP2.6 (GDP)'!L$13</f>
        <v>0.5200997440466768</v>
      </c>
      <c r="E58" s="4">
        <f>'REMIND SSP2-RCP2.6'!E58/'REMIND SSP2-RCP2.6 (GDP)'!M$14*'REMIND SSP2-RCP2.6 (GDP)'!M$13</f>
        <v>0</v>
      </c>
      <c r="F58" s="4">
        <f>'REMIND SSP2-RCP2.6'!F58/'REMIND SSP2-RCP2.6 (GDP)'!N$14*'REMIND SSP2-RCP2.6 (GDP)'!N$13</f>
        <v>0</v>
      </c>
      <c r="G58" s="4">
        <f>'REMIND SSP2-RCP2.6'!G58/'REMIND SSP2-RCP2.6 (GDP)'!O$14*'REMIND SSP2-RCP2.6 (GDP)'!O$13</f>
        <v>0</v>
      </c>
      <c r="H58" s="4">
        <f>'REMIND SSP2-RCP2.6'!H58/'REMIND SSP2-RCP2.6 (GDP)'!P$14*'REMIND SSP2-RCP2.6 (GDP)'!P$13</f>
        <v>0</v>
      </c>
    </row>
    <row r="59" spans="1:8" x14ac:dyDescent="0.35">
      <c r="A59" s="30"/>
      <c r="B59" s="3" t="s">
        <v>9</v>
      </c>
      <c r="C59" s="4">
        <f>'REMIND SSP2-RCP2.6'!C59/'REMIND SSP2-RCP2.6 (GDP)'!K$14*'REMIND SSP2-RCP2.6 (GDP)'!K$13</f>
        <v>0.63207678477026707</v>
      </c>
      <c r="D59" s="4">
        <f>'REMIND SSP2-RCP2.6'!D59/'REMIND SSP2-RCP2.6 (GDP)'!L$14*'REMIND SSP2-RCP2.6 (GDP)'!L$13</f>
        <v>0.31835905045731805</v>
      </c>
      <c r="E59" s="4">
        <f>'REMIND SSP2-RCP2.6'!E59/'REMIND SSP2-RCP2.6 (GDP)'!M$14*'REMIND SSP2-RCP2.6 (GDP)'!M$13</f>
        <v>3.9538796289940607E-4</v>
      </c>
      <c r="F59" s="4">
        <f>'REMIND SSP2-RCP2.6'!F59/'REMIND SSP2-RCP2.6 (GDP)'!N$14*'REMIND SSP2-RCP2.6 (GDP)'!N$13</f>
        <v>2.0509435522782128E-5</v>
      </c>
      <c r="G59" s="4">
        <f>'REMIND SSP2-RCP2.6'!G59/'REMIND SSP2-RCP2.6 (GDP)'!O$14*'REMIND SSP2-RCP2.6 (GDP)'!O$13</f>
        <v>9.9071572290635943E-5</v>
      </c>
      <c r="H59" s="4">
        <f>'REMIND SSP2-RCP2.6'!H59/'REMIND SSP2-RCP2.6 (GDP)'!P$14*'REMIND SSP2-RCP2.6 (GDP)'!P$13</f>
        <v>1.0020188432569115E-4</v>
      </c>
    </row>
    <row r="60" spans="1:8" x14ac:dyDescent="0.35">
      <c r="A60" s="30"/>
      <c r="B60" s="3" t="s">
        <v>10</v>
      </c>
      <c r="C60" s="4">
        <f>'REMIND SSP2-RCP2.6'!C60/'REMIND SSP2-RCP2.6 (GDP)'!K$14*'REMIND SSP2-RCP2.6 (GDP)'!K$13</f>
        <v>0.61215758854973445</v>
      </c>
      <c r="D60" s="4">
        <f>'REMIND SSP2-RCP2.6'!D60/'REMIND SSP2-RCP2.6 (GDP)'!L$14*'REMIND SSP2-RCP2.6 (GDP)'!L$13</f>
        <v>0.79109052684746162</v>
      </c>
      <c r="E60" s="4">
        <f>'REMIND SSP2-RCP2.6'!E60/'REMIND SSP2-RCP2.6 (GDP)'!M$14*'REMIND SSP2-RCP2.6 (GDP)'!M$13</f>
        <v>0.91458323629095317</v>
      </c>
      <c r="F60" s="4">
        <f>'REMIND SSP2-RCP2.6'!F60/'REMIND SSP2-RCP2.6 (GDP)'!N$14*'REMIND SSP2-RCP2.6 (GDP)'!N$13</f>
        <v>1.7539143244837099E-2</v>
      </c>
      <c r="G60" s="4">
        <f>'REMIND SSP2-RCP2.6'!G60/'REMIND SSP2-RCP2.6 (GDP)'!O$14*'REMIND SSP2-RCP2.6 (GDP)'!O$13</f>
        <v>0.28166696700344573</v>
      </c>
      <c r="H60" s="4">
        <f>'REMIND SSP2-RCP2.6'!H60/'REMIND SSP2-RCP2.6 (GDP)'!P$14*'REMIND SSP2-RCP2.6 (GDP)'!P$13</f>
        <v>1.1802764126503169E-2</v>
      </c>
    </row>
    <row r="61" spans="1:8" x14ac:dyDescent="0.35">
      <c r="A61" s="30"/>
      <c r="B61" s="3" t="s">
        <v>11</v>
      </c>
      <c r="C61" s="4">
        <f>'REMIND SSP2-RCP2.6'!C61/'REMIND SSP2-RCP2.6 (GDP)'!K$14*'REMIND SSP2-RCP2.6 (GDP)'!K$13</f>
        <v>0</v>
      </c>
      <c r="D61" s="4">
        <f>'REMIND SSP2-RCP2.6'!D61/'REMIND SSP2-RCP2.6 (GDP)'!L$14*'REMIND SSP2-RCP2.6 (GDP)'!L$13</f>
        <v>0</v>
      </c>
      <c r="E61" s="4">
        <f>'REMIND SSP2-RCP2.6'!E61/'REMIND SSP2-RCP2.6 (GDP)'!M$14*'REMIND SSP2-RCP2.6 (GDP)'!M$13</f>
        <v>0</v>
      </c>
      <c r="F61" s="4">
        <f>'REMIND SSP2-RCP2.6'!F61/'REMIND SSP2-RCP2.6 (GDP)'!N$14*'REMIND SSP2-RCP2.6 (GDP)'!N$13</f>
        <v>0</v>
      </c>
      <c r="G61" s="4">
        <f>'REMIND SSP2-RCP2.6'!G61/'REMIND SSP2-RCP2.6 (GDP)'!O$14*'REMIND SSP2-RCP2.6 (GDP)'!O$13</f>
        <v>0</v>
      </c>
      <c r="H61" s="4">
        <f>'REMIND SSP2-RCP2.6'!H61/'REMIND SSP2-RCP2.6 (GDP)'!P$14*'REMIND SSP2-RCP2.6 (GDP)'!P$13</f>
        <v>0</v>
      </c>
    </row>
    <row r="62" spans="1:8" x14ac:dyDescent="0.35">
      <c r="A62" s="30"/>
      <c r="B62" s="3" t="s">
        <v>12</v>
      </c>
      <c r="C62" s="4">
        <f>'REMIND SSP2-RCP2.6'!C62/'REMIND SSP2-RCP2.6 (GDP)'!K$14*'REMIND SSP2-RCP2.6 (GDP)'!K$13</f>
        <v>0</v>
      </c>
      <c r="D62" s="4">
        <f>'REMIND SSP2-RCP2.6'!D62/'REMIND SSP2-RCP2.6 (GDP)'!L$14*'REMIND SSP2-RCP2.6 (GDP)'!L$13</f>
        <v>0</v>
      </c>
      <c r="E62" s="4">
        <f>'REMIND SSP2-RCP2.6'!E62/'REMIND SSP2-RCP2.6 (GDP)'!M$14*'REMIND SSP2-RCP2.6 (GDP)'!M$13</f>
        <v>0</v>
      </c>
      <c r="F62" s="4">
        <f>'REMIND SSP2-RCP2.6'!F62/'REMIND SSP2-RCP2.6 (GDP)'!N$14*'REMIND SSP2-RCP2.6 (GDP)'!N$13</f>
        <v>0</v>
      </c>
      <c r="G62" s="4">
        <f>'REMIND SSP2-RCP2.6'!G62/'REMIND SSP2-RCP2.6 (GDP)'!O$14*'REMIND SSP2-RCP2.6 (GDP)'!O$13</f>
        <v>0</v>
      </c>
      <c r="H62" s="4">
        <f>'REMIND SSP2-RCP2.6'!H62/'REMIND SSP2-RCP2.6 (GDP)'!P$14*'REMIND SSP2-RCP2.6 (GDP)'!P$13</f>
        <v>0</v>
      </c>
    </row>
    <row r="63" spans="1:8" x14ac:dyDescent="0.35">
      <c r="A63" s="30"/>
      <c r="B63" s="3" t="s">
        <v>13</v>
      </c>
      <c r="C63" s="4">
        <f>'REMIND SSP2-RCP2.6'!C63/'REMIND SSP2-RCP2.6 (GDP)'!K$14*'REMIND SSP2-RCP2.6 (GDP)'!K$13</f>
        <v>0</v>
      </c>
      <c r="D63" s="4">
        <f>'REMIND SSP2-RCP2.6'!D63/'REMIND SSP2-RCP2.6 (GDP)'!L$14*'REMIND SSP2-RCP2.6 (GDP)'!L$13</f>
        <v>0</v>
      </c>
      <c r="E63" s="4">
        <f>'REMIND SSP2-RCP2.6'!E63/'REMIND SSP2-RCP2.6 (GDP)'!M$14*'REMIND SSP2-RCP2.6 (GDP)'!M$13</f>
        <v>0</v>
      </c>
      <c r="F63" s="4">
        <f>'REMIND SSP2-RCP2.6'!F63/'REMIND SSP2-RCP2.6 (GDP)'!N$14*'REMIND SSP2-RCP2.6 (GDP)'!N$13</f>
        <v>0</v>
      </c>
      <c r="G63" s="4">
        <f>'REMIND SSP2-RCP2.6'!G63/'REMIND SSP2-RCP2.6 (GDP)'!O$14*'REMIND SSP2-RCP2.6 (GDP)'!O$13</f>
        <v>0</v>
      </c>
      <c r="H63" s="4">
        <f>'REMIND SSP2-RCP2.6'!H63/'REMIND SSP2-RCP2.6 (GDP)'!P$14*'REMIND SSP2-RCP2.6 (GDP)'!P$13</f>
        <v>0</v>
      </c>
    </row>
    <row r="64" spans="1:8" x14ac:dyDescent="0.35">
      <c r="A64" s="30"/>
      <c r="B64" s="3" t="s">
        <v>14</v>
      </c>
      <c r="C64" s="4">
        <f>'REMIND SSP2-RCP2.6'!C64/'REMIND SSP2-RCP2.6 (GDP)'!K$14*'REMIND SSP2-RCP2.6 (GDP)'!K$13</f>
        <v>0</v>
      </c>
      <c r="D64" s="4">
        <f>'REMIND SSP2-RCP2.6'!D64/'REMIND SSP2-RCP2.6 (GDP)'!L$14*'REMIND SSP2-RCP2.6 (GDP)'!L$13</f>
        <v>0</v>
      </c>
      <c r="E64" s="4">
        <f>'REMIND SSP2-RCP2.6'!E64/'REMIND SSP2-RCP2.6 (GDP)'!M$14*'REMIND SSP2-RCP2.6 (GDP)'!M$13</f>
        <v>0</v>
      </c>
      <c r="F64" s="4">
        <f>'REMIND SSP2-RCP2.6'!F64/'REMIND SSP2-RCP2.6 (GDP)'!N$14*'REMIND SSP2-RCP2.6 (GDP)'!N$13</f>
        <v>0</v>
      </c>
      <c r="G64" s="4">
        <f>'REMIND SSP2-RCP2.6'!G64/'REMIND SSP2-RCP2.6 (GDP)'!O$14*'REMIND SSP2-RCP2.6 (GDP)'!O$13</f>
        <v>0</v>
      </c>
      <c r="H64" s="4">
        <f>'REMIND SSP2-RCP2.6'!H64/'REMIND SSP2-RCP2.6 (GDP)'!P$14*'REMIND SSP2-RCP2.6 (GDP)'!P$13</f>
        <v>0</v>
      </c>
    </row>
    <row r="65" spans="1:8" x14ac:dyDescent="0.35">
      <c r="A65" s="30"/>
      <c r="B65" s="3" t="s">
        <v>15</v>
      </c>
      <c r="C65" s="4">
        <f>'REMIND SSP2-RCP2.6'!C65/'REMIND SSP2-RCP2.6 (GDP)'!K$14*'REMIND SSP2-RCP2.6 (GDP)'!K$13</f>
        <v>2.2775173695460005</v>
      </c>
      <c r="D65" s="4">
        <f>'REMIND SSP2-RCP2.6'!D65/'REMIND SSP2-RCP2.6 (GDP)'!L$14*'REMIND SSP2-RCP2.6 (GDP)'!L$13</f>
        <v>1.6295493213514567</v>
      </c>
      <c r="E65" s="4">
        <f>'REMIND SSP2-RCP2.6'!E65/'REMIND SSP2-RCP2.6 (GDP)'!M$14*'REMIND SSP2-RCP2.6 (GDP)'!M$13</f>
        <v>0.91497862425385268</v>
      </c>
      <c r="F65" s="4">
        <f>'REMIND SSP2-RCP2.6'!F65/'REMIND SSP2-RCP2.6 (GDP)'!N$14*'REMIND SSP2-RCP2.6 (GDP)'!N$13</f>
        <v>1.7559652680359882E-2</v>
      </c>
      <c r="G65" s="4">
        <f>'REMIND SSP2-RCP2.6'!G65/'REMIND SSP2-RCP2.6 (GDP)'!O$14*'REMIND SSP2-RCP2.6 (GDP)'!O$13</f>
        <v>0.2817660385757364</v>
      </c>
      <c r="H65" s="4">
        <f>'REMIND SSP2-RCP2.6'!H65/'REMIND SSP2-RCP2.6 (GDP)'!P$14*'REMIND SSP2-RCP2.6 (GDP)'!P$13</f>
        <v>1.190296601082886E-2</v>
      </c>
    </row>
    <row r="66" spans="1:8" x14ac:dyDescent="0.35">
      <c r="A66" s="30" t="s">
        <v>22</v>
      </c>
      <c r="B66" s="3" t="s">
        <v>16</v>
      </c>
      <c r="C66" s="4">
        <f>'REMIND SSP2-RCP2.6'!C66/'REMIND SSP2-RCP2.6 (GDP)'!K$14*'REMIND SSP2-RCP2.6 (GDP)'!K$13</f>
        <v>1.0332829962259993</v>
      </c>
      <c r="D66" s="4">
        <f>'REMIND SSP2-RCP2.6'!D66/'REMIND SSP2-RCP2.6 (GDP)'!L$14*'REMIND SSP2-RCP2.6 (GDP)'!L$13</f>
        <v>0.5200997440466768</v>
      </c>
      <c r="E66" s="4">
        <f>'REMIND SSP2-RCP2.6'!E66/'REMIND SSP2-RCP2.6 (GDP)'!M$14*'REMIND SSP2-RCP2.6 (GDP)'!M$13</f>
        <v>0</v>
      </c>
      <c r="F66" s="4">
        <f>'REMIND SSP2-RCP2.6'!F66/'REMIND SSP2-RCP2.6 (GDP)'!N$14*'REMIND SSP2-RCP2.6 (GDP)'!N$13</f>
        <v>0</v>
      </c>
      <c r="G66" s="4">
        <f>'REMIND SSP2-RCP2.6'!G66/'REMIND SSP2-RCP2.6 (GDP)'!O$14*'REMIND SSP2-RCP2.6 (GDP)'!O$13</f>
        <v>0</v>
      </c>
      <c r="H66" s="4">
        <f>'REMIND SSP2-RCP2.6'!H66/'REMIND SSP2-RCP2.6 (GDP)'!P$14*'REMIND SSP2-RCP2.6 (GDP)'!P$13</f>
        <v>0</v>
      </c>
    </row>
    <row r="67" spans="1:8" x14ac:dyDescent="0.35">
      <c r="A67" s="30"/>
      <c r="B67" s="3" t="s">
        <v>9</v>
      </c>
      <c r="C67" s="4">
        <f>'REMIND SSP2-RCP2.6'!C67/'REMIND SSP2-RCP2.6 (GDP)'!K$14*'REMIND SSP2-RCP2.6 (GDP)'!K$13</f>
        <v>0.63207678477026707</v>
      </c>
      <c r="D67" s="4">
        <f>'REMIND SSP2-RCP2.6'!D67/'REMIND SSP2-RCP2.6 (GDP)'!L$14*'REMIND SSP2-RCP2.6 (GDP)'!L$13</f>
        <v>0.31835905045731805</v>
      </c>
      <c r="E67" s="4">
        <f>'REMIND SSP2-RCP2.6'!E67/'REMIND SSP2-RCP2.6 (GDP)'!M$14*'REMIND SSP2-RCP2.6 (GDP)'!M$13</f>
        <v>3.9538796289940607E-4</v>
      </c>
      <c r="F67" s="4">
        <f>'REMIND SSP2-RCP2.6'!F67/'REMIND SSP2-RCP2.6 (GDP)'!N$14*'REMIND SSP2-RCP2.6 (GDP)'!N$13</f>
        <v>2.0509435522782128E-5</v>
      </c>
      <c r="G67" s="4">
        <f>'REMIND SSP2-RCP2.6'!G67/'REMIND SSP2-RCP2.6 (GDP)'!O$14*'REMIND SSP2-RCP2.6 (GDP)'!O$13</f>
        <v>9.9071572290635943E-5</v>
      </c>
      <c r="H67" s="4">
        <f>'REMIND SSP2-RCP2.6'!H67/'REMIND SSP2-RCP2.6 (GDP)'!P$14*'REMIND SSP2-RCP2.6 (GDP)'!P$13</f>
        <v>1.0020188432569115E-4</v>
      </c>
    </row>
    <row r="68" spans="1:8" x14ac:dyDescent="0.35">
      <c r="A68" s="30"/>
      <c r="B68" s="3" t="s">
        <v>10</v>
      </c>
      <c r="C68" s="4">
        <f>'REMIND SSP2-RCP2.6'!C68/'REMIND SSP2-RCP2.6 (GDP)'!K$14*'REMIND SSP2-RCP2.6 (GDP)'!K$13</f>
        <v>0.19121927088989027</v>
      </c>
      <c r="D68" s="4">
        <f>'REMIND SSP2-RCP2.6'!D68/'REMIND SSP2-RCP2.6 (GDP)'!L$14*'REMIND SSP2-RCP2.6 (GDP)'!L$13</f>
        <v>0.58809700013830934</v>
      </c>
      <c r="E68" s="4">
        <f>'REMIND SSP2-RCP2.6'!E68/'REMIND SSP2-RCP2.6 (GDP)'!M$14*'REMIND SSP2-RCP2.6 (GDP)'!M$13</f>
        <v>1.0409515218885634</v>
      </c>
      <c r="F68" s="4">
        <f>'REMIND SSP2-RCP2.6'!F68/'REMIND SSP2-RCP2.6 (GDP)'!N$14*'REMIND SSP2-RCP2.6 (GDP)'!N$13</f>
        <v>2.570744123958265E-2</v>
      </c>
      <c r="G68" s="4">
        <f>'REMIND SSP2-RCP2.6'!G68/'REMIND SSP2-RCP2.6 (GDP)'!O$14*'REMIND SSP2-RCP2.6 (GDP)'!O$13</f>
        <v>0.12174709641770555</v>
      </c>
      <c r="H68" s="4">
        <f>'REMIND SSP2-RCP2.6'!H68/'REMIND SSP2-RCP2.6 (GDP)'!P$14*'REMIND SSP2-RCP2.6 (GDP)'!P$13</f>
        <v>1.1804771904034908E-2</v>
      </c>
    </row>
    <row r="69" spans="1:8" x14ac:dyDescent="0.35">
      <c r="A69" s="30"/>
      <c r="B69" s="3" t="s">
        <v>11</v>
      </c>
      <c r="C69" s="4">
        <f>'REMIND SSP2-RCP2.6'!C69/'REMIND SSP2-RCP2.6 (GDP)'!K$14*'REMIND SSP2-RCP2.6 (GDP)'!K$13</f>
        <v>0</v>
      </c>
      <c r="D69" s="4">
        <f>'REMIND SSP2-RCP2.6'!D69/'REMIND SSP2-RCP2.6 (GDP)'!L$14*'REMIND SSP2-RCP2.6 (GDP)'!L$13</f>
        <v>0</v>
      </c>
      <c r="E69" s="4">
        <f>'REMIND SSP2-RCP2.6'!E69/'REMIND SSP2-RCP2.6 (GDP)'!M$14*'REMIND SSP2-RCP2.6 (GDP)'!M$13</f>
        <v>0</v>
      </c>
      <c r="F69" s="4">
        <f>'REMIND SSP2-RCP2.6'!F69/'REMIND SSP2-RCP2.6 (GDP)'!N$14*'REMIND SSP2-RCP2.6 (GDP)'!N$13</f>
        <v>0</v>
      </c>
      <c r="G69" s="4">
        <f>'REMIND SSP2-RCP2.6'!G69/'REMIND SSP2-RCP2.6 (GDP)'!O$14*'REMIND SSP2-RCP2.6 (GDP)'!O$13</f>
        <v>0</v>
      </c>
      <c r="H69" s="4">
        <f>'REMIND SSP2-RCP2.6'!H69/'REMIND SSP2-RCP2.6 (GDP)'!P$14*'REMIND SSP2-RCP2.6 (GDP)'!P$13</f>
        <v>0</v>
      </c>
    </row>
    <row r="70" spans="1:8" x14ac:dyDescent="0.35">
      <c r="A70" s="30"/>
      <c r="B70" s="3" t="s">
        <v>12</v>
      </c>
      <c r="C70" s="4">
        <f>'REMIND SSP2-RCP2.6'!C70/'REMIND SSP2-RCP2.6 (GDP)'!K$14*'REMIND SSP2-RCP2.6 (GDP)'!K$13</f>
        <v>0</v>
      </c>
      <c r="D70" s="4">
        <f>'REMIND SSP2-RCP2.6'!D70/'REMIND SSP2-RCP2.6 (GDP)'!L$14*'REMIND SSP2-RCP2.6 (GDP)'!L$13</f>
        <v>0</v>
      </c>
      <c r="E70" s="4">
        <f>'REMIND SSP2-RCP2.6'!E70/'REMIND SSP2-RCP2.6 (GDP)'!M$14*'REMIND SSP2-RCP2.6 (GDP)'!M$13</f>
        <v>0</v>
      </c>
      <c r="F70" s="4">
        <f>'REMIND SSP2-RCP2.6'!F70/'REMIND SSP2-RCP2.6 (GDP)'!N$14*'REMIND SSP2-RCP2.6 (GDP)'!N$13</f>
        <v>0</v>
      </c>
      <c r="G70" s="4">
        <f>'REMIND SSP2-RCP2.6'!G70/'REMIND SSP2-RCP2.6 (GDP)'!O$14*'REMIND SSP2-RCP2.6 (GDP)'!O$13</f>
        <v>0</v>
      </c>
      <c r="H70" s="4">
        <f>'REMIND SSP2-RCP2.6'!H70/'REMIND SSP2-RCP2.6 (GDP)'!P$14*'REMIND SSP2-RCP2.6 (GDP)'!P$13</f>
        <v>0</v>
      </c>
    </row>
    <row r="71" spans="1:8" x14ac:dyDescent="0.35">
      <c r="A71" s="30"/>
      <c r="B71" s="3" t="s">
        <v>13</v>
      </c>
      <c r="C71" s="4">
        <f>'REMIND SSP2-RCP2.6'!C71/'REMIND SSP2-RCP2.6 (GDP)'!K$14*'REMIND SSP2-RCP2.6 (GDP)'!K$13</f>
        <v>0</v>
      </c>
      <c r="D71" s="4">
        <f>'REMIND SSP2-RCP2.6'!D71/'REMIND SSP2-RCP2.6 (GDP)'!L$14*'REMIND SSP2-RCP2.6 (GDP)'!L$13</f>
        <v>0</v>
      </c>
      <c r="E71" s="4">
        <f>'REMIND SSP2-RCP2.6'!E71/'REMIND SSP2-RCP2.6 (GDP)'!M$14*'REMIND SSP2-RCP2.6 (GDP)'!M$13</f>
        <v>0</v>
      </c>
      <c r="F71" s="4">
        <f>'REMIND SSP2-RCP2.6'!F71/'REMIND SSP2-RCP2.6 (GDP)'!N$14*'REMIND SSP2-RCP2.6 (GDP)'!N$13</f>
        <v>0</v>
      </c>
      <c r="G71" s="4">
        <f>'REMIND SSP2-RCP2.6'!G71/'REMIND SSP2-RCP2.6 (GDP)'!O$14*'REMIND SSP2-RCP2.6 (GDP)'!O$13</f>
        <v>0</v>
      </c>
      <c r="H71" s="4">
        <f>'REMIND SSP2-RCP2.6'!H71/'REMIND SSP2-RCP2.6 (GDP)'!P$14*'REMIND SSP2-RCP2.6 (GDP)'!P$13</f>
        <v>0</v>
      </c>
    </row>
    <row r="72" spans="1:8" x14ac:dyDescent="0.35">
      <c r="A72" s="30"/>
      <c r="B72" s="3" t="s">
        <v>14</v>
      </c>
      <c r="C72" s="4">
        <f>'REMIND SSP2-RCP2.6'!C72/'REMIND SSP2-RCP2.6 (GDP)'!K$14*'REMIND SSP2-RCP2.6 (GDP)'!K$13</f>
        <v>0</v>
      </c>
      <c r="D72" s="4">
        <f>'REMIND SSP2-RCP2.6'!D72/'REMIND SSP2-RCP2.6 (GDP)'!L$14*'REMIND SSP2-RCP2.6 (GDP)'!L$13</f>
        <v>0</v>
      </c>
      <c r="E72" s="4">
        <f>'REMIND SSP2-RCP2.6'!E72/'REMIND SSP2-RCP2.6 (GDP)'!M$14*'REMIND SSP2-RCP2.6 (GDP)'!M$13</f>
        <v>0</v>
      </c>
      <c r="F72" s="4">
        <f>'REMIND SSP2-RCP2.6'!F72/'REMIND SSP2-RCP2.6 (GDP)'!N$14*'REMIND SSP2-RCP2.6 (GDP)'!N$13</f>
        <v>0</v>
      </c>
      <c r="G72" s="4">
        <f>'REMIND SSP2-RCP2.6'!G72/'REMIND SSP2-RCP2.6 (GDP)'!O$14*'REMIND SSP2-RCP2.6 (GDP)'!O$13</f>
        <v>0</v>
      </c>
      <c r="H72" s="4">
        <f>'REMIND SSP2-RCP2.6'!H72/'REMIND SSP2-RCP2.6 (GDP)'!P$14*'REMIND SSP2-RCP2.6 (GDP)'!P$13</f>
        <v>0</v>
      </c>
    </row>
    <row r="73" spans="1:8" x14ac:dyDescent="0.35">
      <c r="A73" s="30"/>
      <c r="B73" s="3" t="s">
        <v>15</v>
      </c>
      <c r="C73" s="4">
        <f>'REMIND SSP2-RCP2.6'!C73/'REMIND SSP2-RCP2.6 (GDP)'!K$14*'REMIND SSP2-RCP2.6 (GDP)'!K$13</f>
        <v>1.8565790518861565</v>
      </c>
      <c r="D73" s="4">
        <f>'REMIND SSP2-RCP2.6'!D73/'REMIND SSP2-RCP2.6 (GDP)'!L$14*'REMIND SSP2-RCP2.6 (GDP)'!L$13</f>
        <v>1.4265557946423042</v>
      </c>
      <c r="E73" s="4">
        <f>'REMIND SSP2-RCP2.6'!E73/'REMIND SSP2-RCP2.6 (GDP)'!M$14*'REMIND SSP2-RCP2.6 (GDP)'!M$13</f>
        <v>1.0413469098514629</v>
      </c>
      <c r="F73" s="4">
        <f>'REMIND SSP2-RCP2.6'!F73/'REMIND SSP2-RCP2.6 (GDP)'!N$14*'REMIND SSP2-RCP2.6 (GDP)'!N$13</f>
        <v>2.5727950675105433E-2</v>
      </c>
      <c r="G73" s="4">
        <f>'REMIND SSP2-RCP2.6'!G73/'REMIND SSP2-RCP2.6 (GDP)'!O$14*'REMIND SSP2-RCP2.6 (GDP)'!O$13</f>
        <v>0.12184616798999619</v>
      </c>
      <c r="H73" s="4">
        <f>'REMIND SSP2-RCP2.6'!H73/'REMIND SSP2-RCP2.6 (GDP)'!P$14*'REMIND SSP2-RCP2.6 (GDP)'!P$13</f>
        <v>1.1904973788360598E-2</v>
      </c>
    </row>
  </sheetData>
  <mergeCells count="10">
    <mergeCell ref="A42:A49"/>
    <mergeCell ref="A50:A57"/>
    <mergeCell ref="A58:A65"/>
    <mergeCell ref="A66:A73"/>
    <mergeCell ref="K1:P1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9609-9D66-4491-92B4-2D0F79B992AA}">
  <dimension ref="A1:P73"/>
  <sheetViews>
    <sheetView workbookViewId="0">
      <selection sqref="A1:XFD1048576"/>
    </sheetView>
  </sheetViews>
  <sheetFormatPr baseColWidth="10" defaultRowHeight="14.5" x14ac:dyDescent="0.35"/>
  <sheetData>
    <row r="1" spans="1:16" x14ac:dyDescent="0.35"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K1" s="29" t="s">
        <v>29</v>
      </c>
      <c r="L1" s="29"/>
      <c r="M1" s="29"/>
      <c r="N1" s="29"/>
      <c r="O1" s="29"/>
      <c r="P1" s="29"/>
    </row>
    <row r="2" spans="1:16" x14ac:dyDescent="0.35">
      <c r="A2" s="30" t="s">
        <v>8</v>
      </c>
      <c r="B2" s="24" t="s">
        <v>16</v>
      </c>
      <c r="C2" s="4">
        <f>'REMIND SSP1-RCP1.9'!C2/K$14*K$13</f>
        <v>1.0332829962259993</v>
      </c>
      <c r="D2" s="4">
        <f>'REMIND SSP1-RCP1.9'!D2/L$14*L$13</f>
        <v>0.5200997440466768</v>
      </c>
      <c r="E2" s="4">
        <f>'REMIND SSP1-RCP1.9'!E2/M$14*M$13</f>
        <v>0</v>
      </c>
      <c r="F2" s="4">
        <f>'REMIND SSP1-RCP1.9'!F2/N$14*N$13</f>
        <v>0</v>
      </c>
      <c r="G2" s="4">
        <f>'REMIND SSP1-RCP1.9'!G2/O$14*O$13</f>
        <v>0</v>
      </c>
      <c r="H2" s="4">
        <f>'REMIND SSP1-RCP1.9'!H2/P$14*P$13</f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24" t="s">
        <v>9</v>
      </c>
      <c r="C3" s="4">
        <f>'REMIND SSP1-RCP1.9'!C3/K$14*K$13</f>
        <v>1.5804939656010952</v>
      </c>
      <c r="D3" s="4">
        <f>'REMIND SSP1-RCP1.9'!D3/L$14*L$13</f>
        <v>0.83296174414933044</v>
      </c>
      <c r="E3" s="4">
        <f>'REMIND SSP1-RCP1.9'!E3/M$14*M$13</f>
        <v>3.5771036887054172E-2</v>
      </c>
      <c r="F3" s="4">
        <f>'REMIND SSP1-RCP1.9'!F3/N$14*N$13</f>
        <v>2.1431362138257127E-3</v>
      </c>
      <c r="G3" s="4">
        <f>'REMIND SSP1-RCP1.9'!G3/O$14*O$13</f>
        <v>1.7561993048994917E-2</v>
      </c>
      <c r="H3" s="4">
        <f>'REMIND SSP1-RCP1.9'!H3/P$14*P$13</f>
        <v>1.0575416931021592E-2</v>
      </c>
      <c r="J3" s="5" t="s">
        <v>25</v>
      </c>
      <c r="K3" s="7">
        <f>C17/C9</f>
        <v>0.93858639070913752</v>
      </c>
      <c r="L3" s="7">
        <f t="shared" ref="L3:P3" si="0">D17/D9</f>
        <v>1.6030279933071014</v>
      </c>
      <c r="M3" s="7">
        <f t="shared" si="0"/>
        <v>4.7419331848793869</v>
      </c>
      <c r="N3" s="7">
        <f t="shared" si="0"/>
        <v>4.86302250943272</v>
      </c>
      <c r="O3" s="7">
        <f t="shared" si="0"/>
        <v>4.9213427428833549</v>
      </c>
      <c r="P3" s="7">
        <f t="shared" si="0"/>
        <v>1.4090479580238831</v>
      </c>
    </row>
    <row r="4" spans="1:16" x14ac:dyDescent="0.35">
      <c r="A4" s="30"/>
      <c r="B4" s="24" t="s">
        <v>10</v>
      </c>
      <c r="C4" s="4">
        <f>'REMIND SSP1-RCP1.9'!C4/K$14*K$13</f>
        <v>0</v>
      </c>
      <c r="D4" s="4">
        <f>'REMIND SSP1-RCP1.9'!D4/L$14*L$13</f>
        <v>0</v>
      </c>
      <c r="E4" s="4">
        <f>'REMIND SSP1-RCP1.9'!E4/M$14*M$13</f>
        <v>0</v>
      </c>
      <c r="F4" s="4">
        <f>'REMIND SSP1-RCP1.9'!F4/N$14*N$13</f>
        <v>0</v>
      </c>
      <c r="G4" s="4">
        <f>'REMIND SSP1-RCP1.9'!G4/O$14*O$13</f>
        <v>0</v>
      </c>
      <c r="H4" s="4">
        <f>'REMIND SSP1-RCP1.9'!H4/P$14*P$13</f>
        <v>0</v>
      </c>
      <c r="J4" s="5" t="s">
        <v>26</v>
      </c>
      <c r="K4" s="7">
        <f>C25/C9</f>
        <v>0.81935945706990598</v>
      </c>
      <c r="L4" s="7">
        <f t="shared" ref="L4:P4" si="1">D25/D9</f>
        <v>2.6858641748855927</v>
      </c>
      <c r="M4" s="7">
        <f t="shared" si="1"/>
        <v>10.486867017630038</v>
      </c>
      <c r="N4" s="7">
        <f t="shared" si="1"/>
        <v>11.638141535058617</v>
      </c>
      <c r="O4" s="7">
        <f t="shared" si="1"/>
        <v>10.757309068641078</v>
      </c>
      <c r="P4" s="7">
        <f t="shared" si="1"/>
        <v>2.1591803472619318</v>
      </c>
    </row>
    <row r="5" spans="1:16" x14ac:dyDescent="0.35">
      <c r="A5" s="30"/>
      <c r="B5" s="24" t="s">
        <v>11</v>
      </c>
      <c r="C5" s="4">
        <f>'REMIND SSP1-RCP1.9'!C5/K$14*K$13</f>
        <v>0</v>
      </c>
      <c r="D5" s="4">
        <f>'REMIND SSP1-RCP1.9'!D5/L$14*L$13</f>
        <v>0</v>
      </c>
      <c r="E5" s="4">
        <f>'REMIND SSP1-RCP1.9'!E5/M$14*M$13</f>
        <v>0</v>
      </c>
      <c r="F5" s="4">
        <f>'REMIND SSP1-RCP1.9'!F5/N$14*N$13</f>
        <v>0</v>
      </c>
      <c r="G5" s="4">
        <f>'REMIND SSP1-RCP1.9'!G5/O$14*O$13</f>
        <v>0</v>
      </c>
      <c r="H5" s="4">
        <f>'REMIND SSP1-RCP1.9'!H5/P$14*P$13</f>
        <v>0</v>
      </c>
      <c r="J5" s="5" t="s">
        <v>28</v>
      </c>
      <c r="K5" s="7">
        <f>C33/C9</f>
        <v>0.69798198896640695</v>
      </c>
      <c r="L5" s="7">
        <f t="shared" ref="L5:P5" si="2">D33/D9</f>
        <v>2.3912899028922223</v>
      </c>
      <c r="M5" s="7">
        <f t="shared" si="2"/>
        <v>18.553218093641654</v>
      </c>
      <c r="N5" s="7">
        <f t="shared" si="2"/>
        <v>12.547108526705756</v>
      </c>
      <c r="O5" s="7">
        <f t="shared" si="2"/>
        <v>20.487545976022687</v>
      </c>
      <c r="P5" s="7">
        <f t="shared" si="2"/>
        <v>1.9477610785704567</v>
      </c>
    </row>
    <row r="6" spans="1:16" x14ac:dyDescent="0.35">
      <c r="A6" s="30"/>
      <c r="B6" s="24" t="s">
        <v>12</v>
      </c>
      <c r="C6" s="4">
        <f>'REMIND SSP1-RCP1.9'!C6/K$14*K$13</f>
        <v>0</v>
      </c>
      <c r="D6" s="4">
        <f>'REMIND SSP1-RCP1.9'!D6/L$14*L$13</f>
        <v>0</v>
      </c>
      <c r="E6" s="4">
        <f>'REMIND SSP1-RCP1.9'!E6/M$14*M$13</f>
        <v>0</v>
      </c>
      <c r="F6" s="4">
        <f>'REMIND SSP1-RCP1.9'!F6/N$14*N$13</f>
        <v>0</v>
      </c>
      <c r="G6" s="4">
        <f>'REMIND SSP1-RCP1.9'!G6/O$14*O$13</f>
        <v>0</v>
      </c>
      <c r="H6" s="4">
        <f>'REMIND SSP1-RCP1.9'!H6/P$14*P$13</f>
        <v>0</v>
      </c>
      <c r="J6" s="5" t="s">
        <v>27</v>
      </c>
      <c r="K6" s="7">
        <f>C41/C9</f>
        <v>0.82893610949589025</v>
      </c>
      <c r="L6" s="7">
        <f t="shared" ref="L6:P6" si="3">D41/D9</f>
        <v>2.1916882544904461</v>
      </c>
      <c r="M6" s="7">
        <f t="shared" si="3"/>
        <v>12.508512932501574</v>
      </c>
      <c r="N6" s="7">
        <f t="shared" si="3"/>
        <v>9.7121324037296333</v>
      </c>
      <c r="O6" s="7">
        <f t="shared" si="3"/>
        <v>13.752443862773903</v>
      </c>
      <c r="P6" s="7">
        <f t="shared" si="3"/>
        <v>1.7996734157223646</v>
      </c>
    </row>
    <row r="7" spans="1:16" x14ac:dyDescent="0.35">
      <c r="A7" s="30"/>
      <c r="B7" s="24" t="s">
        <v>13</v>
      </c>
      <c r="C7" s="4">
        <f>'REMIND SSP1-RCP1.9'!C7/K$14*K$13</f>
        <v>0</v>
      </c>
      <c r="D7" s="4">
        <f>'REMIND SSP1-RCP1.9'!D7/L$14*L$13</f>
        <v>0</v>
      </c>
      <c r="E7" s="4">
        <f>'REMIND SSP1-RCP1.9'!E7/M$14*M$13</f>
        <v>0</v>
      </c>
      <c r="F7" s="4">
        <f>'REMIND SSP1-RCP1.9'!F7/N$14*N$13</f>
        <v>0</v>
      </c>
      <c r="G7" s="4">
        <f>'REMIND SSP1-RCP1.9'!G7/O$14*O$13</f>
        <v>0</v>
      </c>
      <c r="H7" s="4">
        <f>'REMIND SSP1-RCP1.9'!H7/P$14*P$13</f>
        <v>0</v>
      </c>
      <c r="J7" s="5" t="s">
        <v>23</v>
      </c>
      <c r="K7" s="7">
        <f>C49/C9</f>
        <v>0.64814548559963359</v>
      </c>
      <c r="L7" s="7">
        <f t="shared" ref="L7:P7" si="4">D49/D9</f>
        <v>3.9450514587448335</v>
      </c>
      <c r="M7" s="7">
        <f t="shared" si="4"/>
        <v>10.483932099732371</v>
      </c>
      <c r="N7" s="7">
        <f t="shared" si="4"/>
        <v>18.277909868565814</v>
      </c>
      <c r="O7" s="7">
        <f t="shared" si="4"/>
        <v>9.3032742469743717</v>
      </c>
      <c r="P7" s="7">
        <f t="shared" si="4"/>
        <v>3.1197584242845884</v>
      </c>
    </row>
    <row r="8" spans="1:16" x14ac:dyDescent="0.35">
      <c r="A8" s="30"/>
      <c r="B8" s="24" t="s">
        <v>14</v>
      </c>
      <c r="C8" s="4">
        <f>'REMIND SSP1-RCP1.9'!C8/K$14*K$13</f>
        <v>0</v>
      </c>
      <c r="D8" s="4">
        <f>'REMIND SSP1-RCP1.9'!D8/L$14*L$13</f>
        <v>0</v>
      </c>
      <c r="E8" s="4">
        <f>'REMIND SSP1-RCP1.9'!E8/M$14*M$13</f>
        <v>0</v>
      </c>
      <c r="F8" s="4">
        <f>'REMIND SSP1-RCP1.9'!F8/N$14*N$13</f>
        <v>0</v>
      </c>
      <c r="G8" s="4">
        <f>'REMIND SSP1-RCP1.9'!G8/O$14*O$13</f>
        <v>0</v>
      </c>
      <c r="H8" s="4">
        <f>'REMIND SSP1-RCP1.9'!H8/P$14*P$13</f>
        <v>0</v>
      </c>
      <c r="J8" s="5" t="s">
        <v>24</v>
      </c>
      <c r="K8" s="7">
        <f>C57/C9</f>
        <v>0.66668641230477421</v>
      </c>
      <c r="L8" s="7">
        <f t="shared" ref="L8:P8" si="5">D57/D9</f>
        <v>1.952417240152033</v>
      </c>
      <c r="M8" s="7">
        <f t="shared" si="5"/>
        <v>29.564170431775764</v>
      </c>
      <c r="N8" s="7">
        <f t="shared" si="5"/>
        <v>35.87931371851441</v>
      </c>
      <c r="O8" s="7">
        <f t="shared" si="5"/>
        <v>12.489678840872651</v>
      </c>
      <c r="P8" s="7">
        <f t="shared" si="5"/>
        <v>6.1275820850330476</v>
      </c>
    </row>
    <row r="9" spans="1:16" x14ac:dyDescent="0.35">
      <c r="A9" s="30"/>
      <c r="B9" s="24" t="s">
        <v>15</v>
      </c>
      <c r="C9" s="4">
        <f>'REMIND SSP1-RCP1.9'!C9/K$14*K$13</f>
        <v>2.5407748581090086</v>
      </c>
      <c r="D9" s="4">
        <f>'REMIND SSP1-RCP1.9'!D9/L$14*L$13</f>
        <v>1.3163161090527113</v>
      </c>
      <c r="E9" s="4">
        <f>'REMIND SSP1-RCP1.9'!E9/M$14*M$13</f>
        <v>3.5771036887054172E-2</v>
      </c>
      <c r="F9" s="4">
        <f>'REMIND SSP1-RCP1.9'!F9/N$14*N$13</f>
        <v>2.1431362138257127E-3</v>
      </c>
      <c r="G9" s="4">
        <f>'REMIND SSP1-RCP1.9'!G9/O$14*O$13</f>
        <v>1.7561993048994917E-2</v>
      </c>
      <c r="H9" s="4">
        <f>'REMIND SSP1-RCP1.9'!H9/P$14*P$13</f>
        <v>1.0575416931021592E-2</v>
      </c>
      <c r="J9" s="5" t="s">
        <v>21</v>
      </c>
      <c r="K9" s="7">
        <f>C65/C9</f>
        <v>0.75916995309424884</v>
      </c>
      <c r="L9" s="7">
        <f t="shared" ref="L9:P9" si="6">D65/D9</f>
        <v>1.3217909374612453</v>
      </c>
      <c r="M9" s="7">
        <f t="shared" si="6"/>
        <v>24.083900517268457</v>
      </c>
      <c r="N9" s="7">
        <f t="shared" si="6"/>
        <v>8.376471764052388</v>
      </c>
      <c r="O9" s="7">
        <f t="shared" si="6"/>
        <v>28.784746821986012</v>
      </c>
      <c r="P9" s="7">
        <f t="shared" si="6"/>
        <v>1.1432298613661656</v>
      </c>
    </row>
    <row r="10" spans="1:16" x14ac:dyDescent="0.35">
      <c r="A10" s="30" t="s">
        <v>25</v>
      </c>
      <c r="B10" s="24" t="s">
        <v>16</v>
      </c>
      <c r="C10" s="4">
        <f>'REMIND SSP1-RCP1.9'!C10/K$14*K$13</f>
        <v>1.0332829962259993</v>
      </c>
      <c r="D10" s="4">
        <f>'REMIND SSP1-RCP1.9'!D10/L$14*L$13</f>
        <v>0.5200997440466768</v>
      </c>
      <c r="E10" s="4">
        <f>'REMIND SSP1-RCP1.9'!E10/M$14*M$13</f>
        <v>0</v>
      </c>
      <c r="F10" s="4">
        <f>'REMIND SSP1-RCP1.9'!F10/N$14*N$13</f>
        <v>0</v>
      </c>
      <c r="G10" s="4">
        <f>'REMIND SSP1-RCP1.9'!G10/O$14*O$13</f>
        <v>0</v>
      </c>
      <c r="H10" s="4">
        <f>'REMIND SSP1-RCP1.9'!H10/P$14*P$13</f>
        <v>0</v>
      </c>
      <c r="J10" s="5" t="s">
        <v>22</v>
      </c>
      <c r="K10" s="7">
        <f>C73/C9</f>
        <v>0.6947349790116496</v>
      </c>
      <c r="L10" s="7">
        <f t="shared" ref="L10:P10" si="7">D73/D9</f>
        <v>1.0799775818924622</v>
      </c>
      <c r="M10" s="7">
        <f t="shared" si="7"/>
        <v>26.958227640227275</v>
      </c>
      <c r="N10" s="7">
        <f t="shared" si="7"/>
        <v>11.269901771798173</v>
      </c>
      <c r="O10" s="7">
        <f t="shared" si="7"/>
        <v>8.0231429960412708</v>
      </c>
      <c r="P10" s="7">
        <f t="shared" si="7"/>
        <v>1.1461358487182534</v>
      </c>
    </row>
    <row r="11" spans="1:16" x14ac:dyDescent="0.35">
      <c r="A11" s="30"/>
      <c r="B11" s="24" t="s">
        <v>9</v>
      </c>
      <c r="C11" s="4">
        <f>'REMIND SSP1-RCP1.9'!C11/K$14*K$13</f>
        <v>1.3850757204264266</v>
      </c>
      <c r="D11" s="4">
        <f>'REMIND SSP1-RCP1.9'!D11/L$14*L$13</f>
        <v>0.72450127606657211</v>
      </c>
      <c r="E11" s="4">
        <f>'REMIND SSP1-RCP1.9'!E11/M$14*M$13</f>
        <v>2.6119989545008635E-2</v>
      </c>
      <c r="F11" s="4">
        <f>'REMIND SSP1-RCP1.9'!F11/N$14*N$13</f>
        <v>1.564916769827161E-3</v>
      </c>
      <c r="G11" s="4">
        <f>'REMIND SSP1-RCP1.9'!G11/O$14*O$13</f>
        <v>1.2823756724683477E-2</v>
      </c>
      <c r="H11" s="4">
        <f>'REMIND SSP1-RCP1.9'!H11/P$14*P$13</f>
        <v>7.7221630601477234E-3</v>
      </c>
    </row>
    <row r="12" spans="1:16" x14ac:dyDescent="0.35">
      <c r="A12" s="30"/>
      <c r="B12" s="24" t="s">
        <v>10</v>
      </c>
      <c r="C12" s="4">
        <f>'REMIND SSP1-RCP1.9'!C12/K$14*K$13</f>
        <v>3.3233314274930148E-2</v>
      </c>
      <c r="D12" s="4">
        <f>'REMIND SSP1-RCP1.9'!D12/L$14*L$13</f>
        <v>8.2205109523781753E-2</v>
      </c>
      <c r="E12" s="4">
        <f>'REMIND SSP1-RCP1.9'!E12/M$14*M$13</f>
        <v>7.3358834862553249E-2</v>
      </c>
      <c r="F12" s="4">
        <f>'REMIND SSP1-RCP1.9'!F12/N$14*N$13</f>
        <v>1.527503436370794E-3</v>
      </c>
      <c r="G12" s="4">
        <f>'REMIND SSP1-RCP1.9'!G12/O$14*O$13</f>
        <v>4.304853591420315E-2</v>
      </c>
      <c r="H12" s="4">
        <f>'REMIND SSP1-RCP1.9'!H12/P$14*P$13</f>
        <v>1.0213122045495634E-3</v>
      </c>
      <c r="J12" t="s">
        <v>33</v>
      </c>
      <c r="K12" s="24" t="s">
        <v>2</v>
      </c>
      <c r="L12" s="24" t="s">
        <v>3</v>
      </c>
      <c r="M12" s="24" t="s">
        <v>4</v>
      </c>
      <c r="N12" s="24" t="s">
        <v>5</v>
      </c>
      <c r="O12" s="24" t="s">
        <v>6</v>
      </c>
      <c r="P12" s="24" t="s">
        <v>7</v>
      </c>
    </row>
    <row r="13" spans="1:16" x14ac:dyDescent="0.35">
      <c r="A13" s="30"/>
      <c r="B13" s="24" t="s">
        <v>11</v>
      </c>
      <c r="C13" s="4">
        <f>'REMIND SSP1-RCP1.9'!C13/K$14*K$13</f>
        <v>7.9026041614787212E-2</v>
      </c>
      <c r="D13" s="4">
        <f>'REMIND SSP1-RCP1.9'!D13/L$14*L$13</f>
        <v>0.40419792384610359</v>
      </c>
      <c r="E13" s="4">
        <f>'REMIND SSP1-RCP1.9'!E13/M$14*M$13</f>
        <v>1.5943409720910205E-2</v>
      </c>
      <c r="F13" s="4">
        <f>'REMIND SSP1-RCP1.9'!F13/N$14*N$13</f>
        <v>2.1287995472716436E-3</v>
      </c>
      <c r="G13" s="4">
        <f>'REMIND SSP1-RCP1.9'!G13/O$14*O$13</f>
        <v>1.0141196220782122E-2</v>
      </c>
      <c r="H13" s="4">
        <f>'REMIND SSP1-RCP1.9'!H13/P$14*P$13</f>
        <v>1.9132621153453103E-3</v>
      </c>
      <c r="J13" t="s">
        <v>34</v>
      </c>
      <c r="K13" s="15">
        <v>0.9</v>
      </c>
      <c r="L13" s="15">
        <v>1.2E-2</v>
      </c>
      <c r="M13" s="15">
        <v>0.02</v>
      </c>
      <c r="N13" s="15">
        <v>2E-3</v>
      </c>
      <c r="O13" s="15">
        <v>2.2000000000000002</v>
      </c>
      <c r="P13" s="15">
        <v>0.4</v>
      </c>
    </row>
    <row r="14" spans="1:16" x14ac:dyDescent="0.35">
      <c r="A14" s="30"/>
      <c r="B14" s="24" t="s">
        <v>12</v>
      </c>
      <c r="C14" s="4">
        <f>'REMIND SSP1-RCP1.9'!C14/K$14*K$13</f>
        <v>-7.509706519201545E-2</v>
      </c>
      <c r="D14" s="4">
        <f>'REMIND SSP1-RCP1.9'!D14/L$14*L$13</f>
        <v>0.40703908105495035</v>
      </c>
      <c r="E14" s="4">
        <f>'REMIND SSP1-RCP1.9'!E14/M$14*M$13</f>
        <v>1.4058899663882947E-2</v>
      </c>
      <c r="F14" s="4">
        <f>'REMIND SSP1-RCP1.9'!F14/N$14*N$13</f>
        <v>2.4643226465436712E-3</v>
      </c>
      <c r="G14" s="4">
        <f>'REMIND SSP1-RCP1.9'!G14/O$14*O$13</f>
        <v>1.3403038475378231E-2</v>
      </c>
      <c r="H14" s="4">
        <f>'REMIND SSP1-RCP1.9'!H14/P$14*P$13</f>
        <v>1.9403710150441202E-3</v>
      </c>
      <c r="J14" t="s">
        <v>35</v>
      </c>
      <c r="K14" s="15">
        <v>2.9</v>
      </c>
      <c r="L14" s="15">
        <v>2.9</v>
      </c>
      <c r="M14" s="15">
        <v>2.9</v>
      </c>
      <c r="N14" s="15">
        <v>2.9</v>
      </c>
      <c r="O14" s="15">
        <v>2.9</v>
      </c>
      <c r="P14" s="15">
        <v>2.9</v>
      </c>
    </row>
    <row r="15" spans="1:16" x14ac:dyDescent="0.35">
      <c r="A15" s="30"/>
      <c r="B15" s="24" t="s">
        <v>13</v>
      </c>
      <c r="C15" s="4">
        <f>'REMIND SSP1-RCP1.9'!C15/K$14*K$13</f>
        <v>2.2178000450133722E-3</v>
      </c>
      <c r="D15" s="4">
        <f>'REMIND SSP1-RCP1.9'!D15/L$14*L$13</f>
        <v>8.7938154577911348E-3</v>
      </c>
      <c r="E15" s="4">
        <f>'REMIND SSP1-RCP1.9'!E15/M$14*M$13</f>
        <v>4.0142733079911758E-2</v>
      </c>
      <c r="F15" s="4">
        <f>'REMIND SSP1-RCP1.9'!F15/N$14*N$13</f>
        <v>2.7365772486015847E-3</v>
      </c>
      <c r="G15" s="4">
        <f>'REMIND SSP1-RCP1.9'!G15/O$14*O$13</f>
        <v>7.012059707192108E-3</v>
      </c>
      <c r="H15" s="4">
        <f>'REMIND SSP1-RCP1.9'!H15/P$14*P$13</f>
        <v>2.3041612368204551E-3</v>
      </c>
    </row>
    <row r="16" spans="1:16" x14ac:dyDescent="0.35">
      <c r="A16" s="30"/>
      <c r="B16" s="24" t="s">
        <v>14</v>
      </c>
      <c r="C16" s="4">
        <f>'REMIND SSP1-RCP1.9'!C16/K$14*K$13</f>
        <v>0</v>
      </c>
      <c r="D16" s="4">
        <f>'REMIND SSP1-RCP1.9'!D16/L$14*L$13</f>
        <v>0</v>
      </c>
      <c r="E16" s="4">
        <f>'REMIND SSP1-RCP1.9'!E16/M$14*M$13</f>
        <v>0</v>
      </c>
      <c r="F16" s="4">
        <f>'REMIND SSP1-RCP1.9'!F16/N$14*N$13</f>
        <v>0</v>
      </c>
      <c r="G16" s="4">
        <f>'REMIND SSP1-RCP1.9'!G16/O$14*O$13</f>
        <v>0</v>
      </c>
      <c r="H16" s="4">
        <f>'REMIND SSP1-RCP1.9'!H16/P$14*P$13</f>
        <v>0</v>
      </c>
    </row>
    <row r="17" spans="1:8" x14ac:dyDescent="0.35">
      <c r="A17" s="30"/>
      <c r="B17" s="24" t="s">
        <v>15</v>
      </c>
      <c r="C17" s="4">
        <f>'REMIND SSP1-RCP1.9'!C17/K$14*K$13</f>
        <v>2.3847367036770555</v>
      </c>
      <c r="D17" s="4">
        <f>'REMIND SSP1-RCP1.9'!D17/L$14*L$13</f>
        <v>2.1100915708525796</v>
      </c>
      <c r="E17" s="4">
        <f>'REMIND SSP1-RCP1.9'!E17/M$14*M$13</f>
        <v>0.16962386687226683</v>
      </c>
      <c r="F17" s="4">
        <f>'REMIND SSP1-RCP1.9'!F17/N$14*N$13</f>
        <v>1.0422119648614855E-2</v>
      </c>
      <c r="G17" s="4">
        <f>'REMIND SSP1-RCP1.9'!G17/O$14*O$13</f>
        <v>8.6428587042239061E-2</v>
      </c>
      <c r="H17" s="4">
        <f>'REMIND SSP1-RCP1.9'!H17/P$14*P$13</f>
        <v>1.4901269631907174E-2</v>
      </c>
    </row>
    <row r="18" spans="1:8" x14ac:dyDescent="0.35">
      <c r="A18" s="30" t="s">
        <v>26</v>
      </c>
      <c r="B18" s="24" t="s">
        <v>16</v>
      </c>
      <c r="C18" s="4">
        <f>'REMIND SSP1-RCP1.9'!C18/K$14*K$13</f>
        <v>1.0332829962259993</v>
      </c>
      <c r="D18" s="4">
        <f>'REMIND SSP1-RCP1.9'!D18/L$14*L$13</f>
        <v>0.5200997440466768</v>
      </c>
      <c r="E18" s="4">
        <f>'REMIND SSP1-RCP1.9'!E18/M$14*M$13</f>
        <v>0</v>
      </c>
      <c r="F18" s="4">
        <f>'REMIND SSP1-RCP1.9'!F18/N$14*N$13</f>
        <v>0</v>
      </c>
      <c r="G18" s="4">
        <f>'REMIND SSP1-RCP1.9'!G18/O$14*O$13</f>
        <v>0</v>
      </c>
      <c r="H18" s="4">
        <f>'REMIND SSP1-RCP1.9'!H18/P$14*P$13</f>
        <v>0</v>
      </c>
    </row>
    <row r="19" spans="1:8" x14ac:dyDescent="0.35">
      <c r="A19" s="30"/>
      <c r="B19" s="24" t="s">
        <v>9</v>
      </c>
      <c r="C19" s="4">
        <f>'REMIND SSP1-RCP1.9'!C19/K$14*K$13</f>
        <v>0.96136443792946502</v>
      </c>
      <c r="D19" s="4">
        <f>'REMIND SSP1-RCP1.9'!D19/L$14*L$13</f>
        <v>0.49443114615579231</v>
      </c>
      <c r="E19" s="4">
        <f>'REMIND SSP1-RCP1.9'!E19/M$14*M$13</f>
        <v>1.0065935658201249E-2</v>
      </c>
      <c r="F19" s="4">
        <f>'REMIND SSP1-RCP1.9'!F19/N$14*N$13</f>
        <v>6.0307648624348365E-4</v>
      </c>
      <c r="G19" s="4">
        <f>'REMIND SSP1-RCP1.9'!G19/O$14*O$13</f>
        <v>4.9419280916885534E-3</v>
      </c>
      <c r="H19" s="4">
        <f>'REMIND SSP1-RCP1.9'!H19/P$14*P$13</f>
        <v>2.9759122365513868E-3</v>
      </c>
    </row>
    <row r="20" spans="1:8" x14ac:dyDescent="0.35">
      <c r="A20" s="30"/>
      <c r="B20" s="24" t="s">
        <v>10</v>
      </c>
      <c r="C20" s="4">
        <f>'REMIND SSP1-RCP1.9'!C20/K$14*K$13</f>
        <v>0.13465818359484849</v>
      </c>
      <c r="D20" s="4">
        <f>'REMIND SSP1-RCP1.9'!D20/L$14*L$13</f>
        <v>0.21506965045816734</v>
      </c>
      <c r="E20" s="4">
        <f>'REMIND SSP1-RCP1.9'!E20/M$14*M$13</f>
        <v>0.1650194207564569</v>
      </c>
      <c r="F20" s="4">
        <f>'REMIND SSP1-RCP1.9'!F20/N$14*N$13</f>
        <v>3.4360923635944531E-3</v>
      </c>
      <c r="G20" s="4">
        <f>'REMIND SSP1-RCP1.9'!G20/O$14*O$13</f>
        <v>9.683693142462331E-2</v>
      </c>
      <c r="H20" s="4">
        <f>'REMIND SSP1-RCP1.9'!H20/P$14*P$13</f>
        <v>2.2974240079200055E-3</v>
      </c>
    </row>
    <row r="21" spans="1:8" x14ac:dyDescent="0.35">
      <c r="A21" s="30"/>
      <c r="B21" s="24" t="s">
        <v>11</v>
      </c>
      <c r="C21" s="4">
        <f>'REMIND SSP1-RCP1.9'!C21/K$14*K$13</f>
        <v>0.2951209077196334</v>
      </c>
      <c r="D21" s="4">
        <f>'REMIND SSP1-RCP1.9'!D21/L$14*L$13</f>
        <v>1.1878081285524134</v>
      </c>
      <c r="E21" s="4">
        <f>'REMIND SSP1-RCP1.9'!E21/M$14*M$13</f>
        <v>4.5467670045910846E-2</v>
      </c>
      <c r="F21" s="4">
        <f>'REMIND SSP1-RCP1.9'!F21/N$14*N$13</f>
        <v>6.0709444907689229E-3</v>
      </c>
      <c r="G21" s="4">
        <f>'REMIND SSP1-RCP1.9'!G21/O$14*O$13</f>
        <v>2.8920825074991288E-2</v>
      </c>
      <c r="H21" s="4">
        <f>'REMIND SSP1-RCP1.9'!H21/P$14*P$13</f>
        <v>5.4562714058442752E-3</v>
      </c>
    </row>
    <row r="22" spans="1:8" x14ac:dyDescent="0.35">
      <c r="A22" s="30"/>
      <c r="B22" s="24" t="s">
        <v>12</v>
      </c>
      <c r="C22" s="4">
        <f>'REMIND SSP1-RCP1.9'!C22/K$14*K$13</f>
        <v>-0.2781549944501181</v>
      </c>
      <c r="D22" s="4">
        <f>'REMIND SSP1-RCP1.9'!D22/L$14*L$13</f>
        <v>1.1285903761982323</v>
      </c>
      <c r="E22" s="4">
        <f>'REMIND SSP1-RCP1.9'!E22/M$14*M$13</f>
        <v>4.0093394218404591E-2</v>
      </c>
      <c r="F22" s="4">
        <f>'REMIND SSP1-RCP1.9'!F22/N$14*N$13</f>
        <v>7.027794614897262E-3</v>
      </c>
      <c r="G22" s="4">
        <f>'REMIND SSP1-RCP1.9'!G22/O$14*O$13</f>
        <v>3.8222998823889895E-2</v>
      </c>
      <c r="H22" s="4">
        <f>'REMIND SSP1-RCP1.9'!H22/P$14*P$13</f>
        <v>5.5335809982332007E-3</v>
      </c>
    </row>
    <row r="23" spans="1:8" x14ac:dyDescent="0.35">
      <c r="A23" s="30"/>
      <c r="B23" s="24" t="s">
        <v>13</v>
      </c>
      <c r="C23" s="4">
        <f>'REMIND SSP1-RCP1.9'!C23/K$14*K$13</f>
        <v>8.538480975322317E-3</v>
      </c>
      <c r="D23" s="4">
        <f>'REMIND SSP1-RCP1.9'!D23/L$14*L$13</f>
        <v>2.6192613861487503E-2</v>
      </c>
      <c r="E23" s="4">
        <f>'REMIND SSP1-RCP1.9'!E23/M$14*M$13</f>
        <v>0.11447968623830228</v>
      </c>
      <c r="F23" s="4">
        <f>'REMIND SSP1-RCP1.9'!F23/N$14*N$13</f>
        <v>7.8042146299091659E-3</v>
      </c>
      <c r="G23" s="4">
        <f>'REMIND SSP1-RCP1.9'!G23/O$14*O$13</f>
        <v>1.999710367417162E-2</v>
      </c>
      <c r="H23" s="4">
        <f>'REMIND SSP1-RCP1.9'!H23/P$14*P$13</f>
        <v>6.5710437530140404E-3</v>
      </c>
    </row>
    <row r="24" spans="1:8" x14ac:dyDescent="0.35">
      <c r="A24" s="30"/>
      <c r="B24" s="24" t="s">
        <v>14</v>
      </c>
      <c r="C24" s="4">
        <f>'REMIND SSP1-RCP1.9'!C24/K$14*K$13</f>
        <v>0</v>
      </c>
      <c r="D24" s="4">
        <f>'REMIND SSP1-RCP1.9'!D24/L$14*L$13</f>
        <v>0</v>
      </c>
      <c r="E24" s="4">
        <f>'REMIND SSP1-RCP1.9'!E24/M$14*M$13</f>
        <v>0</v>
      </c>
      <c r="F24" s="4">
        <f>'REMIND SSP1-RCP1.9'!F24/N$14*N$13</f>
        <v>0</v>
      </c>
      <c r="G24" s="4">
        <f>'REMIND SSP1-RCP1.9'!G24/O$14*O$13</f>
        <v>0</v>
      </c>
      <c r="H24" s="4">
        <f>'REMIND SSP1-RCP1.9'!H24/P$14*P$13</f>
        <v>0</v>
      </c>
    </row>
    <row r="25" spans="1:8" x14ac:dyDescent="0.35">
      <c r="A25" s="30"/>
      <c r="B25" s="24" t="s">
        <v>15</v>
      </c>
      <c r="C25" s="4">
        <f>'REMIND SSP1-RCP1.9'!C25/K$14*K$13</f>
        <v>2.0818079082770646</v>
      </c>
      <c r="D25" s="4">
        <f>'REMIND SSP1-RCP1.9'!D25/L$14*L$13</f>
        <v>3.5354462801294742</v>
      </c>
      <c r="E25" s="4">
        <f>'REMIND SSP1-RCP1.9'!E25/M$14*M$13</f>
        <v>0.37512610691727588</v>
      </c>
      <c r="F25" s="4">
        <f>'REMIND SSP1-RCP1.9'!F25/N$14*N$13</f>
        <v>2.4942122585413291E-2</v>
      </c>
      <c r="G25" s="4">
        <f>'REMIND SSP1-RCP1.9'!G25/O$14*O$13</f>
        <v>0.1889197870893646</v>
      </c>
      <c r="H25" s="4">
        <f>'REMIND SSP1-RCP1.9'!H25/P$14*P$13</f>
        <v>2.2834232401562914E-2</v>
      </c>
    </row>
    <row r="26" spans="1:8" x14ac:dyDescent="0.35">
      <c r="A26" s="30" t="s">
        <v>28</v>
      </c>
      <c r="B26" s="24" t="s">
        <v>16</v>
      </c>
      <c r="C26" s="4">
        <f>'REMIND SSP1-RCP1.9'!C26/K$14*K$13</f>
        <v>1.0332829962259993</v>
      </c>
      <c r="D26" s="4">
        <f>'REMIND SSP1-RCP1.9'!D26/L$14*L$13</f>
        <v>0.5200997440466768</v>
      </c>
      <c r="E26" s="4">
        <f>'REMIND SSP1-RCP1.9'!E26/M$14*M$13</f>
        <v>0</v>
      </c>
      <c r="F26" s="4">
        <f>'REMIND SSP1-RCP1.9'!F26/N$14*N$13</f>
        <v>0</v>
      </c>
      <c r="G26" s="4">
        <f>'REMIND SSP1-RCP1.9'!G26/O$14*O$13</f>
        <v>0</v>
      </c>
      <c r="H26" s="4">
        <f>'REMIND SSP1-RCP1.9'!H26/P$14*P$13</f>
        <v>0</v>
      </c>
    </row>
    <row r="27" spans="1:8" x14ac:dyDescent="0.35">
      <c r="A27" s="30"/>
      <c r="B27" s="24" t="s">
        <v>9</v>
      </c>
      <c r="C27" s="4">
        <f>'REMIND SSP1-RCP1.9'!C27/K$14*K$13</f>
        <v>0.55207155023365351</v>
      </c>
      <c r="D27" s="4">
        <f>'REMIND SSP1-RCP1.9'!D27/L$14*L$13</f>
        <v>0.27788347724747997</v>
      </c>
      <c r="E27" s="4">
        <f>'REMIND SSP1-RCP1.9'!E27/M$14*M$13</f>
        <v>0</v>
      </c>
      <c r="F27" s="4">
        <f>'REMIND SSP1-RCP1.9'!F27/N$14*N$13</f>
        <v>0</v>
      </c>
      <c r="G27" s="4">
        <f>'REMIND SSP1-RCP1.9'!G27/O$14*O$13</f>
        <v>0</v>
      </c>
      <c r="H27" s="4">
        <f>'REMIND SSP1-RCP1.9'!H27/P$14*P$13</f>
        <v>0</v>
      </c>
    </row>
    <row r="28" spans="1:8" x14ac:dyDescent="0.35">
      <c r="A28" s="30"/>
      <c r="B28" s="24" t="s">
        <v>10</v>
      </c>
      <c r="C28" s="4">
        <f>'REMIND SSP1-RCP1.9'!C28/K$14*K$13</f>
        <v>0.21798027689993651</v>
      </c>
      <c r="D28" s="4">
        <f>'REMIND SSP1-RCP1.9'!D28/L$14*L$13</f>
        <v>0.53782363365873476</v>
      </c>
      <c r="E28" s="4">
        <f>'REMIND SSP1-RCP1.9'!E28/M$14*M$13</f>
        <v>0.47963557702064402</v>
      </c>
      <c r="F28" s="4">
        <f>'REMIND SSP1-RCP1.9'!F28/N$14*N$13</f>
        <v>9.9871405193037999E-3</v>
      </c>
      <c r="G28" s="4">
        <f>'REMIND SSP1-RCP1.9'!G28/O$14*O$13</f>
        <v>0.2814604321591061</v>
      </c>
      <c r="H28" s="4">
        <f>'REMIND SSP1-RCP1.9'!H28/P$14*P$13</f>
        <v>6.677555191070903E-3</v>
      </c>
    </row>
    <row r="29" spans="1:8" x14ac:dyDescent="0.35">
      <c r="A29" s="30"/>
      <c r="B29" s="24" t="s">
        <v>11</v>
      </c>
      <c r="C29" s="4">
        <f>'REMIND SSP1-RCP1.9'!C29/K$14*K$13</f>
        <v>0.39906820167899121</v>
      </c>
      <c r="D29" s="4">
        <f>'REMIND SSP1-RCP1.9'!D29/L$14*L$13</f>
        <v>1.0066085234211211</v>
      </c>
      <c r="E29" s="4">
        <f>'REMIND SSP1-RCP1.9'!E29/M$14*M$13</f>
        <v>3.525110917591058E-2</v>
      </c>
      <c r="F29" s="4">
        <f>'REMIND SSP1-RCP1.9'!F29/N$14*N$13</f>
        <v>4.7068065469133271E-3</v>
      </c>
      <c r="G29" s="4">
        <f>'REMIND SSP1-RCP1.9'!G29/O$14*O$13</f>
        <v>2.2422331321277331E-2</v>
      </c>
      <c r="H29" s="4">
        <f>'REMIND SSP1-RCP1.9'!H29/P$14*P$13</f>
        <v>4.2302501717506377E-3</v>
      </c>
    </row>
    <row r="30" spans="1:8" x14ac:dyDescent="0.35">
      <c r="A30" s="30"/>
      <c r="B30" s="24" t="s">
        <v>12</v>
      </c>
      <c r="C30" s="4">
        <f>'REMIND SSP1-RCP1.9'!C30/K$14*K$13</f>
        <v>-0.37002059815619293</v>
      </c>
      <c r="D30" s="4">
        <f>'REMIND SSP1-RCP1.9'!D30/L$14*L$13</f>
        <v>0.79729664554980839</v>
      </c>
      <c r="E30" s="4">
        <f>'REMIND SSP1-RCP1.9'!E30/M$14*M$13</f>
        <v>3.1084430220389331E-2</v>
      </c>
      <c r="F30" s="4">
        <f>'REMIND SSP1-RCP1.9'!F30/N$14*N$13</f>
        <v>5.4486529656229939E-3</v>
      </c>
      <c r="G30" s="4">
        <f>'REMIND SSP1-RCP1.9'!G30/O$14*O$13</f>
        <v>2.9634311659495812E-2</v>
      </c>
      <c r="H30" s="4">
        <f>'REMIND SSP1-RCP1.9'!H30/P$14*P$13</f>
        <v>4.290188340539478E-3</v>
      </c>
    </row>
    <row r="31" spans="1:8" x14ac:dyDescent="0.35">
      <c r="A31" s="30"/>
      <c r="B31" s="24" t="s">
        <v>13</v>
      </c>
      <c r="C31" s="4">
        <f>'REMIND SSP1-RCP1.9'!C31/K$14*K$13</f>
        <v>1.2154313217175049E-2</v>
      </c>
      <c r="D31" s="4">
        <f>'REMIND SSP1-RCP1.9'!D31/L$14*L$13</f>
        <v>2.3092882744298295E-2</v>
      </c>
      <c r="E31" s="4">
        <f>'REMIND SSP1-RCP1.9'!E31/M$14*M$13</f>
        <v>8.8756162652177048E-2</v>
      </c>
      <c r="F31" s="4">
        <f>'REMIND SSP1-RCP1.9'!F31/N$14*N$13</f>
        <v>6.0506118231564926E-3</v>
      </c>
      <c r="G31" s="4">
        <f>'REMIND SSP1-RCP1.9'!G31/O$14*O$13</f>
        <v>1.5503765293194825E-2</v>
      </c>
      <c r="H31" s="4">
        <f>'REMIND SSP1-RCP1.9'!H31/P$14*P$13</f>
        <v>5.0945337753900465E-3</v>
      </c>
    </row>
    <row r="32" spans="1:8" x14ac:dyDescent="0.35">
      <c r="A32" s="30"/>
      <c r="B32" s="24" t="s">
        <v>14</v>
      </c>
      <c r="C32" s="4">
        <f>'REMIND SSP1-RCP1.9'!C32/K$14*K$13</f>
        <v>1.8804525972892158E-3</v>
      </c>
      <c r="D32" s="4">
        <f>'REMIND SSP1-RCP1.9'!D32/L$14*L$13</f>
        <v>2.1633893067302196E-2</v>
      </c>
      <c r="E32" s="4">
        <f>'REMIND SSP1-RCP1.9'!E32/M$14*M$13</f>
        <v>2.8940569732095429E-2</v>
      </c>
      <c r="F32" s="4">
        <f>'REMIND SSP1-RCP1.9'!F32/N$14*N$13</f>
        <v>6.9695080738786902E-4</v>
      </c>
      <c r="G32" s="4">
        <f>'REMIND SSP1-RCP1.9'!G32/O$14*O$13</f>
        <v>1.0781299588800112E-2</v>
      </c>
      <c r="H32" s="4">
        <f>'REMIND SSP1-RCP1.9'!H32/P$14*P$13</f>
        <v>3.0585800914781781E-4</v>
      </c>
    </row>
    <row r="33" spans="1:8" x14ac:dyDescent="0.35">
      <c r="A33" s="30"/>
      <c r="B33" s="24" t="s">
        <v>15</v>
      </c>
      <c r="C33" s="4">
        <f>'REMIND SSP1-RCP1.9'!C33/K$14*K$13</f>
        <v>1.7734150889787661</v>
      </c>
      <c r="D33" s="4">
        <f>'REMIND SSP1-RCP1.9'!D33/L$14*L$13</f>
        <v>3.1476934205921259</v>
      </c>
      <c r="E33" s="4">
        <f>'REMIND SSP1-RCP1.9'!E33/M$14*M$13</f>
        <v>0.66366784880121643</v>
      </c>
      <c r="F33" s="4">
        <f>'REMIND SSP1-RCP1.9'!F33/N$14*N$13</f>
        <v>2.689016266238449E-2</v>
      </c>
      <c r="G33" s="4">
        <f>'REMIND SSP1-RCP1.9'!G33/O$14*O$13</f>
        <v>0.35980214002187422</v>
      </c>
      <c r="H33" s="4">
        <f>'REMIND SSP1-RCP1.9'!H33/P$14*P$13</f>
        <v>2.0598385487898885E-2</v>
      </c>
    </row>
    <row r="34" spans="1:8" x14ac:dyDescent="0.35">
      <c r="A34" s="30" t="s">
        <v>27</v>
      </c>
      <c r="B34" s="24" t="s">
        <v>16</v>
      </c>
      <c r="C34" s="4">
        <f>'REMIND SSP1-RCP1.9'!C34/K$14*K$13</f>
        <v>1.0332829962259993</v>
      </c>
      <c r="D34" s="4">
        <f>'REMIND SSP1-RCP1.9'!D34/L$14*L$13</f>
        <v>0.5200997440466768</v>
      </c>
      <c r="E34" s="4">
        <f>'REMIND SSP1-RCP1.9'!E34/M$14*M$13</f>
        <v>0</v>
      </c>
      <c r="F34" s="4">
        <f>'REMIND SSP1-RCP1.9'!F34/N$14*N$13</f>
        <v>0</v>
      </c>
      <c r="G34" s="4">
        <f>'REMIND SSP1-RCP1.9'!G34/O$14*O$13</f>
        <v>0</v>
      </c>
      <c r="H34" s="4">
        <f>'REMIND SSP1-RCP1.9'!H34/P$14*P$13</f>
        <v>0</v>
      </c>
    </row>
    <row r="35" spans="1:8" x14ac:dyDescent="0.35">
      <c r="A35" s="30"/>
      <c r="B35" s="24" t="s">
        <v>9</v>
      </c>
      <c r="C35" s="4">
        <f>'REMIND SSP1-RCP1.9'!C35/K$14*K$13</f>
        <v>1.0715254032058339</v>
      </c>
      <c r="D35" s="4">
        <f>'REMIND SSP1-RCP1.9'!D35/L$14*L$13</f>
        <v>0.55057646351743406</v>
      </c>
      <c r="E35" s="4">
        <f>'REMIND SSP1-RCP1.9'!E35/M$14*M$13</f>
        <v>1.073131106611625E-2</v>
      </c>
      <c r="F35" s="4">
        <f>'REMIND SSP1-RCP1.9'!F35/N$14*N$13</f>
        <v>6.4294086414771405E-4</v>
      </c>
      <c r="G35" s="4">
        <f>'REMIND SSP1-RCP1.9'!G35/O$14*O$13</f>
        <v>5.2685979146984757E-3</v>
      </c>
      <c r="H35" s="4">
        <f>'REMIND SSP1-RCP1.9'!H35/P$14*P$13</f>
        <v>3.1726250793064781E-3</v>
      </c>
    </row>
    <row r="36" spans="1:8" x14ac:dyDescent="0.35">
      <c r="A36" s="30"/>
      <c r="B36" s="24" t="s">
        <v>10</v>
      </c>
      <c r="C36" s="4">
        <f>'REMIND SSP1-RCP1.9'!C36/K$14*K$13</f>
        <v>5.2599356418569741E-2</v>
      </c>
      <c r="D36" s="4">
        <f>'REMIND SSP1-RCP1.9'!D36/L$14*L$13</f>
        <v>0.2980911990556544</v>
      </c>
      <c r="E36" s="4">
        <f>'REMIND SSP1-RCP1.9'!E36/M$14*M$13</f>
        <v>0.30431031433265948</v>
      </c>
      <c r="F36" s="4">
        <f>'REMIND SSP1-RCP1.9'!F36/N$14*N$13</f>
        <v>6.3364562937393842E-3</v>
      </c>
      <c r="G36" s="4">
        <f>'REMIND SSP1-RCP1.9'!G36/O$14*O$13</f>
        <v>0.17857581189991098</v>
      </c>
      <c r="H36" s="4">
        <f>'REMIND SSP1-RCP1.9'!H36/P$14*P$13</f>
        <v>4.2366517758981991E-3</v>
      </c>
    </row>
    <row r="37" spans="1:8" x14ac:dyDescent="0.35">
      <c r="A37" s="30"/>
      <c r="B37" s="24" t="s">
        <v>11</v>
      </c>
      <c r="C37" s="4">
        <f>'REMIND SSP1-RCP1.9'!C37/K$14*K$13</f>
        <v>0.22378001284659541</v>
      </c>
      <c r="D37" s="4">
        <f>'REMIND SSP1-RCP1.9'!D37/L$14*L$13</f>
        <v>0.80049332683382779</v>
      </c>
      <c r="E37" s="4">
        <f>'REMIND SSP1-RCP1.9'!E37/M$14*M$13</f>
        <v>3.0093659629336349E-2</v>
      </c>
      <c r="F37" s="4">
        <f>'REMIND SSP1-RCP1.9'!F37/N$14*N$13</f>
        <v>4.0181724057845253E-3</v>
      </c>
      <c r="G37" s="4">
        <f>'REMIND SSP1-RCP1.9'!G37/O$14*O$13</f>
        <v>1.9141809226809879E-2</v>
      </c>
      <c r="H37" s="4">
        <f>'REMIND SSP1-RCP1.9'!H37/P$14*P$13</f>
        <v>3.6113390980219242E-3</v>
      </c>
    </row>
    <row r="38" spans="1:8" x14ac:dyDescent="0.35">
      <c r="A38" s="30"/>
      <c r="B38" s="24" t="s">
        <v>12</v>
      </c>
      <c r="C38" s="4">
        <f>'REMIND SSP1-RCP1.9'!C38/K$14*K$13</f>
        <v>-0.20873971934913213</v>
      </c>
      <c r="D38" s="4">
        <f>'REMIND SSP1-RCP1.9'!D38/L$14*L$13</f>
        <v>0.73457826103854751</v>
      </c>
      <c r="E38" s="4">
        <f>'REMIND SSP1-RCP1.9'!E38/M$14*M$13</f>
        <v>2.6536590895798091E-2</v>
      </c>
      <c r="F38" s="4">
        <f>'REMIND SSP1-RCP1.9'!F38/N$14*N$13</f>
        <v>4.651482226207055E-3</v>
      </c>
      <c r="G38" s="4">
        <f>'REMIND SSP1-RCP1.9'!G38/O$14*O$13</f>
        <v>2.5298633412646484E-2</v>
      </c>
      <c r="H38" s="4">
        <f>'REMIND SSP1-RCP1.9'!H38/P$14*P$13</f>
        <v>3.6625079517829764E-3</v>
      </c>
    </row>
    <row r="39" spans="1:8" x14ac:dyDescent="0.35">
      <c r="A39" s="30"/>
      <c r="B39" s="24" t="s">
        <v>13</v>
      </c>
      <c r="C39" s="4">
        <f>'REMIND SSP1-RCP1.9'!C39/K$14*K$13</f>
        <v>6.6940803560739445E-3</v>
      </c>
      <c r="D39" s="4">
        <f>'REMIND SSP1-RCP1.9'!D39/L$14*L$13</f>
        <v>1.7860940058547433E-2</v>
      </c>
      <c r="E39" s="4">
        <f>'REMIND SSP1-RCP1.9'!E39/M$14*M$13</f>
        <v>7.5770601586797715E-2</v>
      </c>
      <c r="F39" s="4">
        <f>'REMIND SSP1-RCP1.9'!F39/N$14*N$13</f>
        <v>5.1653708780244716E-3</v>
      </c>
      <c r="G39" s="4">
        <f>'REMIND SSP1-RCP1.9'!G39/O$14*O$13</f>
        <v>1.3235471070662306E-2</v>
      </c>
      <c r="H39" s="4">
        <f>'REMIND SSP1-RCP1.9'!H39/P$14*P$13</f>
        <v>4.3491728059301743E-3</v>
      </c>
    </row>
    <row r="40" spans="1:8" x14ac:dyDescent="0.35">
      <c r="A40" s="30"/>
      <c r="B40" s="24" t="s">
        <v>14</v>
      </c>
      <c r="C40" s="4">
        <f>'REMIND SSP1-RCP1.9'!C40/K$14*K$13</f>
        <v>0</v>
      </c>
      <c r="D40" s="4">
        <f>'REMIND SSP1-RCP1.9'!D40/L$14*L$13</f>
        <v>0</v>
      </c>
      <c r="E40" s="4">
        <f>'REMIND SSP1-RCP1.9'!E40/M$14*M$13</f>
        <v>0</v>
      </c>
      <c r="F40" s="4">
        <f>'REMIND SSP1-RCP1.9'!F40/N$14*N$13</f>
        <v>0</v>
      </c>
      <c r="G40" s="4">
        <f>'REMIND SSP1-RCP1.9'!G40/O$14*O$13</f>
        <v>0</v>
      </c>
      <c r="H40" s="4">
        <f>'REMIND SSP1-RCP1.9'!H40/P$14*P$13</f>
        <v>0</v>
      </c>
    </row>
    <row r="41" spans="1:8" x14ac:dyDescent="0.35">
      <c r="A41" s="30"/>
      <c r="B41" s="24" t="s">
        <v>15</v>
      </c>
      <c r="C41" s="4">
        <f>'REMIND SSP1-RCP1.9'!C41/K$14*K$13</f>
        <v>2.1061400259858543</v>
      </c>
      <c r="D41" s="4">
        <f>'REMIND SSP1-RCP1.9'!D41/L$14*L$13</f>
        <v>2.8849545554073925</v>
      </c>
      <c r="E41" s="4">
        <f>'REMIND SSP1-RCP1.9'!E41/M$14*M$13</f>
        <v>0.44744247751070798</v>
      </c>
      <c r="F41" s="4">
        <f>'REMIND SSP1-RCP1.9'!F41/N$14*N$13</f>
        <v>2.0814422667903145E-2</v>
      </c>
      <c r="G41" s="4">
        <f>'REMIND SSP1-RCP1.9'!G41/O$14*O$13</f>
        <v>0.2415203235247281</v>
      </c>
      <c r="H41" s="4">
        <f>'REMIND SSP1-RCP1.9'!H41/P$14*P$13</f>
        <v>1.9032296710939756E-2</v>
      </c>
    </row>
    <row r="42" spans="1:8" x14ac:dyDescent="0.35">
      <c r="A42" s="30" t="s">
        <v>23</v>
      </c>
      <c r="B42" s="24" t="s">
        <v>16</v>
      </c>
      <c r="C42" s="4">
        <f>'REMIND SSP1-RCP1.9'!C42/K$14*K$13</f>
        <v>1.0332829962259993</v>
      </c>
      <c r="D42" s="4">
        <f>'REMIND SSP1-RCP1.9'!D42/L$14*L$13</f>
        <v>0.5200997440466768</v>
      </c>
      <c r="E42" s="4">
        <f>'REMIND SSP1-RCP1.9'!E42/M$14*M$13</f>
        <v>0</v>
      </c>
      <c r="F42" s="4">
        <f>'REMIND SSP1-RCP1.9'!F42/N$14*N$13</f>
        <v>0</v>
      </c>
      <c r="G42" s="4">
        <f>'REMIND SSP1-RCP1.9'!G42/O$14*O$13</f>
        <v>0</v>
      </c>
      <c r="H42" s="4">
        <f>'REMIND SSP1-RCP1.9'!H42/P$14*P$13</f>
        <v>0</v>
      </c>
    </row>
    <row r="43" spans="1:8" x14ac:dyDescent="0.35">
      <c r="A43" s="30"/>
      <c r="B43" s="24" t="s">
        <v>9</v>
      </c>
      <c r="C43" s="4">
        <f>'REMIND SSP1-RCP1.9'!C43/K$14*K$13</f>
        <v>0.63070389928372728</v>
      </c>
      <c r="D43" s="4">
        <f>'REMIND SSP1-RCP1.9'!D43/L$14*L$13</f>
        <v>0.31781979387733006</v>
      </c>
      <c r="E43" s="4">
        <f>'REMIND SSP1-RCP1.9'!E43/M$14*M$13</f>
        <v>3.4119446975764789E-4</v>
      </c>
      <c r="F43" s="4">
        <f>'REMIND SSP1-RCP1.9'!F43/N$14*N$13</f>
        <v>2.0441851501355668E-5</v>
      </c>
      <c r="G43" s="4">
        <f>'REMIND SSP1-RCP1.9'!G43/O$14*O$13</f>
        <v>1.6751135632883741E-4</v>
      </c>
      <c r="H43" s="4">
        <f>'REMIND SSP1-RCP1.9'!H43/P$14*P$13</f>
        <v>1.0087137769136987E-4</v>
      </c>
    </row>
    <row r="44" spans="1:8" x14ac:dyDescent="0.35">
      <c r="A44" s="30"/>
      <c r="B44" s="24" t="s">
        <v>10</v>
      </c>
      <c r="C44" s="4">
        <f>'REMIND SSP1-RCP1.9'!C44/K$14*K$13</f>
        <v>0</v>
      </c>
      <c r="D44" s="4">
        <f>'REMIND SSP1-RCP1.9'!D44/L$14*L$13</f>
        <v>0</v>
      </c>
      <c r="E44" s="4">
        <f>'REMIND SSP1-RCP1.9'!E44/M$14*M$13</f>
        <v>0</v>
      </c>
      <c r="F44" s="4">
        <f>'REMIND SSP1-RCP1.9'!F44/N$14*N$13</f>
        <v>0</v>
      </c>
      <c r="G44" s="4">
        <f>'REMIND SSP1-RCP1.9'!G44/O$14*O$13</f>
        <v>0</v>
      </c>
      <c r="H44" s="4">
        <f>'REMIND SSP1-RCP1.9'!H44/P$14*P$13</f>
        <v>0</v>
      </c>
    </row>
    <row r="45" spans="1:8" x14ac:dyDescent="0.35">
      <c r="A45" s="30"/>
      <c r="B45" s="24" t="s">
        <v>11</v>
      </c>
      <c r="C45" s="4">
        <f>'REMIND SSP1-RCP1.9'!C45/K$14*K$13</f>
        <v>0.67123045631306522</v>
      </c>
      <c r="D45" s="4">
        <f>'REMIND SSP1-RCP1.9'!D45/L$14*L$13</f>
        <v>2.2844143328282982</v>
      </c>
      <c r="E45" s="4">
        <f>'REMIND SSP1-RCP1.9'!E45/M$14*M$13</f>
        <v>8.51617646336678E-2</v>
      </c>
      <c r="F45" s="4">
        <f>'REMIND SSP1-RCP1.9'!F45/N$14*N$13</f>
        <v>1.1370988337534641E-2</v>
      </c>
      <c r="G45" s="4">
        <f>'REMIND SSP1-RCP1.9'!G45/O$14*O$13</f>
        <v>5.4169226080002131E-2</v>
      </c>
      <c r="H45" s="4">
        <f>'REMIND SSP1-RCP1.9'!H45/P$14*P$13</f>
        <v>1.0219694582386279E-2</v>
      </c>
    </row>
    <row r="46" spans="1:8" x14ac:dyDescent="0.35">
      <c r="A46" s="30"/>
      <c r="B46" s="24" t="s">
        <v>12</v>
      </c>
      <c r="C46" s="4">
        <f>'REMIND SSP1-RCP1.9'!C46/K$14*K$13</f>
        <v>-0.63485105297930855</v>
      </c>
      <c r="D46" s="4">
        <f>'REMIND SSP1-RCP1.9'!D46/L$14*L$13</f>
        <v>2.0565581461099165</v>
      </c>
      <c r="E46" s="4">
        <f>'REMIND SSP1-RCP1.9'!E46/M$14*M$13</f>
        <v>7.5095649245825111E-2</v>
      </c>
      <c r="F46" s="4">
        <f>'REMIND SSP1-RCP1.9'!F46/N$14*N$13</f>
        <v>1.3163185847950995E-2</v>
      </c>
      <c r="G46" s="4">
        <f>'REMIND SSP1-RCP1.9'!G46/O$14*O$13</f>
        <v>7.1592364995747657E-2</v>
      </c>
      <c r="H46" s="4">
        <f>'REMIND SSP1-RCP1.9'!H46/P$14*P$13</f>
        <v>1.0364496840876813E-2</v>
      </c>
    </row>
    <row r="47" spans="1:8" x14ac:dyDescent="0.35">
      <c r="A47" s="30"/>
      <c r="B47" s="24" t="s">
        <v>13</v>
      </c>
      <c r="C47" s="4">
        <f>'REMIND SSP1-RCP1.9'!C47/K$14*K$13</f>
        <v>1.9427559083005849E-2</v>
      </c>
      <c r="D47" s="4">
        <f>'REMIND SSP1-RCP1.9'!D47/L$14*L$13</f>
        <v>5.0788148468794342E-2</v>
      </c>
      <c r="E47" s="4">
        <f>'REMIND SSP1-RCP1.9'!E47/M$14*M$13</f>
        <v>0.21442251351164726</v>
      </c>
      <c r="F47" s="4">
        <f>'REMIND SSP1-RCP1.9'!F47/N$14*N$13</f>
        <v>1.4617434515378782E-2</v>
      </c>
      <c r="G47" s="4">
        <f>'REMIND SSP1-RCP1.9'!G47/O$14*O$13</f>
        <v>3.745493522617873E-2</v>
      </c>
      <c r="H47" s="4">
        <f>'REMIND SSP1-RCP1.9'!H47/P$14*P$13</f>
        <v>1.2307683259922023E-2</v>
      </c>
    </row>
    <row r="48" spans="1:8" x14ac:dyDescent="0.35">
      <c r="A48" s="30"/>
      <c r="B48" s="24" t="s">
        <v>14</v>
      </c>
      <c r="C48" s="4">
        <f>'REMIND SSP1-RCP1.9'!C48/K$14*K$13</f>
        <v>0</v>
      </c>
      <c r="D48" s="4">
        <f>'REMIND SSP1-RCP1.9'!D48/L$14*L$13</f>
        <v>0</v>
      </c>
      <c r="E48" s="4">
        <f>'REMIND SSP1-RCP1.9'!E48/M$14*M$13</f>
        <v>0</v>
      </c>
      <c r="F48" s="4">
        <f>'REMIND SSP1-RCP1.9'!F48/N$14*N$13</f>
        <v>0</v>
      </c>
      <c r="G48" s="4">
        <f>'REMIND SSP1-RCP1.9'!G48/O$14*O$13</f>
        <v>0</v>
      </c>
      <c r="H48" s="4">
        <f>'REMIND SSP1-RCP1.9'!H48/P$14*P$13</f>
        <v>0</v>
      </c>
    </row>
    <row r="49" spans="1:8" x14ac:dyDescent="0.35">
      <c r="A49" s="30"/>
      <c r="B49" s="24" t="s">
        <v>15</v>
      </c>
      <c r="C49" s="4">
        <f>'REMIND SSP1-RCP1.9'!C49/K$14*K$13</f>
        <v>1.6467917542084036</v>
      </c>
      <c r="D49" s="4">
        <f>'REMIND SSP1-RCP1.9'!D49/L$14*L$13</f>
        <v>5.1929347861877222</v>
      </c>
      <c r="E49" s="4">
        <f>'REMIND SSP1-RCP1.9'!E49/M$14*M$13</f>
        <v>0.37502112186089792</v>
      </c>
      <c r="F49" s="4">
        <f>'REMIND SSP1-RCP1.9'!F49/N$14*N$13</f>
        <v>3.9172050552365771E-2</v>
      </c>
      <c r="G49" s="4">
        <f>'REMIND SSP1-RCP1.9'!G49/O$14*O$13</f>
        <v>0.16338403765825735</v>
      </c>
      <c r="H49" s="4">
        <f>'REMIND SSP1-RCP1.9'!H49/P$14*P$13</f>
        <v>3.2992746060876481E-2</v>
      </c>
    </row>
    <row r="50" spans="1:8" x14ac:dyDescent="0.35">
      <c r="A50" s="30" t="s">
        <v>24</v>
      </c>
      <c r="B50" s="24" t="s">
        <v>16</v>
      </c>
      <c r="C50" s="4">
        <f>'REMIND SSP1-RCP1.9'!C50/K$14*K$13</f>
        <v>1.0332829962259993</v>
      </c>
      <c r="D50" s="4">
        <f>'REMIND SSP1-RCP1.9'!D50/L$14*L$13</f>
        <v>0.5200997440466768</v>
      </c>
      <c r="E50" s="4">
        <f>'REMIND SSP1-RCP1.9'!E50/M$14*M$13</f>
        <v>0</v>
      </c>
      <c r="F50" s="4">
        <f>'REMIND SSP1-RCP1.9'!F50/N$14*N$13</f>
        <v>0</v>
      </c>
      <c r="G50" s="4">
        <f>'REMIND SSP1-RCP1.9'!G50/O$14*O$13</f>
        <v>0</v>
      </c>
      <c r="H50" s="4">
        <f>'REMIND SSP1-RCP1.9'!H50/P$14*P$13</f>
        <v>0</v>
      </c>
    </row>
    <row r="51" spans="1:8" x14ac:dyDescent="0.35">
      <c r="A51" s="30"/>
      <c r="B51" s="24" t="s">
        <v>9</v>
      </c>
      <c r="C51" s="4">
        <f>'REMIND SSP1-RCP1.9'!C51/K$14*K$13</f>
        <v>0.63070389928372728</v>
      </c>
      <c r="D51" s="4">
        <f>'REMIND SSP1-RCP1.9'!D51/L$14*L$13</f>
        <v>0.31781979387733006</v>
      </c>
      <c r="E51" s="4">
        <f>'REMIND SSP1-RCP1.9'!E51/M$14*M$13</f>
        <v>3.4119446975764789E-4</v>
      </c>
      <c r="F51" s="4">
        <f>'REMIND SSP1-RCP1.9'!F51/N$14*N$13</f>
        <v>2.0441851501355668E-5</v>
      </c>
      <c r="G51" s="4">
        <f>'REMIND SSP1-RCP1.9'!G51/O$14*O$13</f>
        <v>1.6751135632883741E-4</v>
      </c>
      <c r="H51" s="4">
        <f>'REMIND SSP1-RCP1.9'!H51/P$14*P$13</f>
        <v>1.0087137769136987E-4</v>
      </c>
    </row>
    <row r="52" spans="1:8" x14ac:dyDescent="0.35">
      <c r="A52" s="30"/>
      <c r="B52" s="24" t="s">
        <v>10</v>
      </c>
      <c r="C52" s="4">
        <f>'REMIND SSP1-RCP1.9'!C52/K$14*K$13</f>
        <v>0</v>
      </c>
      <c r="D52" s="4">
        <f>'REMIND SSP1-RCP1.9'!D52/L$14*L$13</f>
        <v>0</v>
      </c>
      <c r="E52" s="4">
        <f>'REMIND SSP1-RCP1.9'!E52/M$14*M$13</f>
        <v>0</v>
      </c>
      <c r="F52" s="4">
        <f>'REMIND SSP1-RCP1.9'!F52/N$14*N$13</f>
        <v>0</v>
      </c>
      <c r="G52" s="4">
        <f>'REMIND SSP1-RCP1.9'!G52/O$14*O$13</f>
        <v>0</v>
      </c>
      <c r="H52" s="4">
        <f>'REMIND SSP1-RCP1.9'!H52/P$14*P$13</f>
        <v>0</v>
      </c>
    </row>
    <row r="53" spans="1:8" x14ac:dyDescent="0.35">
      <c r="A53" s="30"/>
      <c r="B53" s="24" t="s">
        <v>11</v>
      </c>
      <c r="C53" s="4">
        <f>'REMIND SSP1-RCP1.9'!C53/K$14*K$13</f>
        <v>0.23723625354893399</v>
      </c>
      <c r="D53" s="4">
        <f>'REMIND SSP1-RCP1.9'!D53/L$14*L$13</f>
        <v>0.80643068458431899</v>
      </c>
      <c r="E53" s="4">
        <f>'REMIND SSP1-RCP1.9'!E53/M$14*M$13</f>
        <v>3.0057093400118053E-2</v>
      </c>
      <c r="F53" s="4">
        <f>'REMIND SSP1-RCP1.9'!F53/N$14*N$13</f>
        <v>4.0132900014828148E-3</v>
      </c>
      <c r="G53" s="4">
        <f>'REMIND SSP1-RCP1.9'!G53/O$14*O$13</f>
        <v>1.9118550381177223E-2</v>
      </c>
      <c r="H53" s="4">
        <f>'REMIND SSP1-RCP1.9'!H53/P$14*P$13</f>
        <v>3.6069510290775105E-3</v>
      </c>
    </row>
    <row r="54" spans="1:8" x14ac:dyDescent="0.35">
      <c r="A54" s="30"/>
      <c r="B54" s="24" t="s">
        <v>12</v>
      </c>
      <c r="C54" s="4">
        <f>'REMIND SSP1-RCP1.9'!C54/K$14*K$13</f>
        <v>-0.22332648521500448</v>
      </c>
      <c r="D54" s="4">
        <f>'REMIND SSP1-RCP1.9'!D54/L$14*L$13</f>
        <v>0.72621581968137805</v>
      </c>
      <c r="E54" s="4">
        <f>'REMIND SSP1-RCP1.9'!E54/M$14*M$13</f>
        <v>2.6504346792644157E-2</v>
      </c>
      <c r="F54" s="4">
        <f>'REMIND SSP1-RCP1.9'!F54/N$14*N$13</f>
        <v>4.6458302992768213E-3</v>
      </c>
      <c r="G54" s="4">
        <f>'REMIND SSP1-RCP1.9'!G54/O$14*O$13</f>
        <v>2.526789352791094E-2</v>
      </c>
      <c r="H54" s="4">
        <f>'REMIND SSP1-RCP1.9'!H54/P$14*P$13</f>
        <v>3.6580577085447577E-3</v>
      </c>
    </row>
    <row r="55" spans="1:8" x14ac:dyDescent="0.35">
      <c r="A55" s="30"/>
      <c r="B55" s="24" t="s">
        <v>13</v>
      </c>
      <c r="C55" s="4">
        <f>'REMIND SSP1-RCP1.9'!C55/K$14*K$13</f>
        <v>8.900551450129629E-2</v>
      </c>
      <c r="D55" s="4">
        <f>'REMIND SSP1-RCP1.9'!D55/L$14*L$13</f>
        <v>0.23617760175794877</v>
      </c>
      <c r="E55" s="4">
        <f>'REMIND SSP1-RCP1.9'!E55/M$14*M$13</f>
        <v>1.000638396387687</v>
      </c>
      <c r="F55" s="4">
        <f>'REMIND SSP1-RCP1.9'!F55/N$14*N$13</f>
        <v>6.8214694405100973E-2</v>
      </c>
      <c r="G55" s="4">
        <f>'REMIND SSP1-RCP1.9'!G55/O$14*O$13</f>
        <v>0.1747896977221674</v>
      </c>
      <c r="H55" s="4">
        <f>'REMIND SSP1-RCP1.9'!H55/P$14*P$13</f>
        <v>5.7435855212969435E-2</v>
      </c>
    </row>
    <row r="56" spans="1:8" x14ac:dyDescent="0.35">
      <c r="A56" s="30"/>
      <c r="B56" s="24" t="s">
        <v>14</v>
      </c>
      <c r="C56" s="4">
        <f>'REMIND SSP1-RCP1.9'!C56/K$14*K$13</f>
        <v>0</v>
      </c>
      <c r="D56" s="4">
        <f>'REMIND SSP1-RCP1.9'!D56/L$14*L$13</f>
        <v>0</v>
      </c>
      <c r="E56" s="4">
        <f>'REMIND SSP1-RCP1.9'!E56/M$14*M$13</f>
        <v>0</v>
      </c>
      <c r="F56" s="4">
        <f>'REMIND SSP1-RCP1.9'!F56/N$14*N$13</f>
        <v>0</v>
      </c>
      <c r="G56" s="4">
        <f>'REMIND SSP1-RCP1.9'!G56/O$14*O$13</f>
        <v>0</v>
      </c>
      <c r="H56" s="4">
        <f>'REMIND SSP1-RCP1.9'!H56/P$14*P$13</f>
        <v>0</v>
      </c>
    </row>
    <row r="57" spans="1:8" x14ac:dyDescent="0.35">
      <c r="A57" s="30"/>
      <c r="B57" s="24" t="s">
        <v>15</v>
      </c>
      <c r="C57" s="4">
        <f>'REMIND SSP1-RCP1.9'!C57/K$14*K$13</f>
        <v>1.6939000746268666</v>
      </c>
      <c r="D57" s="4">
        <f>'REMIND SSP1-RCP1.9'!D57/L$14*L$13</f>
        <v>2.5699982648043571</v>
      </c>
      <c r="E57" s="4">
        <f>'REMIND SSP1-RCP1.9'!E57/M$14*M$13</f>
        <v>1.0575410310502071</v>
      </c>
      <c r="F57" s="4">
        <f>'REMIND SSP1-RCP1.9'!F57/N$14*N$13</f>
        <v>7.6894256557361929E-2</v>
      </c>
      <c r="G57" s="4">
        <f>'REMIND SSP1-RCP1.9'!G57/O$14*O$13</f>
        <v>0.2193436529875844</v>
      </c>
      <c r="H57" s="4">
        <f>'REMIND SSP1-RCP1.9'!H57/P$14*P$13</f>
        <v>6.480173532828308E-2</v>
      </c>
    </row>
    <row r="58" spans="1:8" x14ac:dyDescent="0.35">
      <c r="A58" s="30" t="s">
        <v>21</v>
      </c>
      <c r="B58" s="24" t="s">
        <v>16</v>
      </c>
      <c r="C58" s="4">
        <f>'REMIND SSP1-RCP1.9'!C58/K$14*K$13</f>
        <v>1.0332829962259993</v>
      </c>
      <c r="D58" s="4">
        <f>'REMIND SSP1-RCP1.9'!D58/L$14*L$13</f>
        <v>0.5200997440466768</v>
      </c>
      <c r="E58" s="4">
        <f>'REMIND SSP1-RCP1.9'!E58/M$14*M$13</f>
        <v>0</v>
      </c>
      <c r="F58" s="4">
        <f>'REMIND SSP1-RCP1.9'!F58/N$14*N$13</f>
        <v>0</v>
      </c>
      <c r="G58" s="4">
        <f>'REMIND SSP1-RCP1.9'!G58/O$14*O$13</f>
        <v>0</v>
      </c>
      <c r="H58" s="4">
        <f>'REMIND SSP1-RCP1.9'!H58/P$14*P$13</f>
        <v>0</v>
      </c>
    </row>
    <row r="59" spans="1:8" x14ac:dyDescent="0.35">
      <c r="A59" s="30"/>
      <c r="B59" s="24" t="s">
        <v>9</v>
      </c>
      <c r="C59" s="4">
        <f>'REMIND SSP1-RCP1.9'!C59/K$14*K$13</f>
        <v>0.63070389928372728</v>
      </c>
      <c r="D59" s="4">
        <f>'REMIND SSP1-RCP1.9'!D59/L$14*L$13</f>
        <v>0.31781979387733006</v>
      </c>
      <c r="E59" s="4">
        <f>'REMIND SSP1-RCP1.9'!E59/M$14*M$13</f>
        <v>3.4119446975764789E-4</v>
      </c>
      <c r="F59" s="4">
        <f>'REMIND SSP1-RCP1.9'!F59/N$14*N$13</f>
        <v>2.0441851501355668E-5</v>
      </c>
      <c r="G59" s="4">
        <f>'REMIND SSP1-RCP1.9'!G59/O$14*O$13</f>
        <v>1.6751135632883741E-4</v>
      </c>
      <c r="H59" s="4">
        <f>'REMIND SSP1-RCP1.9'!H59/P$14*P$13</f>
        <v>1.0087137769136987E-4</v>
      </c>
    </row>
    <row r="60" spans="1:8" x14ac:dyDescent="0.35">
      <c r="A60" s="30"/>
      <c r="B60" s="24" t="s">
        <v>10</v>
      </c>
      <c r="C60" s="4">
        <f>'REMIND SSP1-RCP1.9'!C60/K$14*K$13</f>
        <v>0.33789513806202198</v>
      </c>
      <c r="D60" s="4">
        <f>'REMIND SSP1-RCP1.9'!D60/L$14*L$13</f>
        <v>0.93872054499941127</v>
      </c>
      <c r="E60" s="4">
        <f>'REMIND SSP1-RCP1.9'!E60/M$14*M$13</f>
        <v>0.86116489931759521</v>
      </c>
      <c r="F60" s="4">
        <f>'REMIND SSP1-RCP1.9'!F60/N$14*N$13</f>
        <v>1.7931478130127861E-2</v>
      </c>
      <c r="G60" s="4">
        <f>'REMIND SSP1-RCP1.9'!G60/O$14*O$13</f>
        <v>0.50535001224846809</v>
      </c>
      <c r="H60" s="4">
        <f>'REMIND SSP1-RCP1.9'!H60/P$14*P$13</f>
        <v>1.1989261054249847E-2</v>
      </c>
    </row>
    <row r="61" spans="1:8" x14ac:dyDescent="0.35">
      <c r="A61" s="30"/>
      <c r="B61" s="24" t="s">
        <v>11</v>
      </c>
      <c r="C61" s="4">
        <f>'REMIND SSP1-RCP1.9'!C61/K$14*K$13</f>
        <v>0</v>
      </c>
      <c r="D61" s="4">
        <f>'REMIND SSP1-RCP1.9'!D61/L$14*L$13</f>
        <v>0</v>
      </c>
      <c r="E61" s="4">
        <f>'REMIND SSP1-RCP1.9'!E61/M$14*M$13</f>
        <v>0</v>
      </c>
      <c r="F61" s="4">
        <f>'REMIND SSP1-RCP1.9'!F61/N$14*N$13</f>
        <v>0</v>
      </c>
      <c r="G61" s="4">
        <f>'REMIND SSP1-RCP1.9'!G61/O$14*O$13</f>
        <v>0</v>
      </c>
      <c r="H61" s="4">
        <f>'REMIND SSP1-RCP1.9'!H61/P$14*P$13</f>
        <v>0</v>
      </c>
    </row>
    <row r="62" spans="1:8" x14ac:dyDescent="0.35">
      <c r="A62" s="30"/>
      <c r="B62" s="24" t="s">
        <v>12</v>
      </c>
      <c r="C62" s="4">
        <f>'REMIND SSP1-RCP1.9'!C62/K$14*K$13</f>
        <v>0</v>
      </c>
      <c r="D62" s="4">
        <f>'REMIND SSP1-RCP1.9'!D62/L$14*L$13</f>
        <v>0</v>
      </c>
      <c r="E62" s="4">
        <f>'REMIND SSP1-RCP1.9'!E62/M$14*M$13</f>
        <v>0</v>
      </c>
      <c r="F62" s="4">
        <f>'REMIND SSP1-RCP1.9'!F62/N$14*N$13</f>
        <v>0</v>
      </c>
      <c r="G62" s="4">
        <f>'REMIND SSP1-RCP1.9'!G62/O$14*O$13</f>
        <v>0</v>
      </c>
      <c r="H62" s="4">
        <f>'REMIND SSP1-RCP1.9'!H62/P$14*P$13</f>
        <v>0</v>
      </c>
    </row>
    <row r="63" spans="1:8" x14ac:dyDescent="0.35">
      <c r="A63" s="30"/>
      <c r="B63" s="24" t="s">
        <v>13</v>
      </c>
      <c r="C63" s="4">
        <f>'REMIND SSP1-RCP1.9'!C63/K$14*K$13</f>
        <v>0</v>
      </c>
      <c r="D63" s="4">
        <f>'REMIND SSP1-RCP1.9'!D63/L$14*L$13</f>
        <v>0</v>
      </c>
      <c r="E63" s="4">
        <f>'REMIND SSP1-RCP1.9'!E63/M$14*M$13</f>
        <v>0</v>
      </c>
      <c r="F63" s="4">
        <f>'REMIND SSP1-RCP1.9'!F63/N$14*N$13</f>
        <v>0</v>
      </c>
      <c r="G63" s="4">
        <f>'REMIND SSP1-RCP1.9'!G63/O$14*O$13</f>
        <v>0</v>
      </c>
      <c r="H63" s="4">
        <f>'REMIND SSP1-RCP1.9'!H63/P$14*P$13</f>
        <v>0</v>
      </c>
    </row>
    <row r="64" spans="1:8" x14ac:dyDescent="0.35">
      <c r="A64" s="30"/>
      <c r="B64" s="24" t="s">
        <v>14</v>
      </c>
      <c r="C64" s="4">
        <f>'REMIND SSP1-RCP1.9'!C64/K$14*K$13</f>
        <v>0</v>
      </c>
      <c r="D64" s="4">
        <f>'REMIND SSP1-RCP1.9'!D64/L$14*L$13</f>
        <v>0</v>
      </c>
      <c r="E64" s="4">
        <f>'REMIND SSP1-RCP1.9'!E64/M$14*M$13</f>
        <v>0</v>
      </c>
      <c r="F64" s="4">
        <f>'REMIND SSP1-RCP1.9'!F64/N$14*N$13</f>
        <v>0</v>
      </c>
      <c r="G64" s="4">
        <f>'REMIND SSP1-RCP1.9'!G64/O$14*O$13</f>
        <v>0</v>
      </c>
      <c r="H64" s="4">
        <f>'REMIND SSP1-RCP1.9'!H64/P$14*P$13</f>
        <v>0</v>
      </c>
    </row>
    <row r="65" spans="1:8" x14ac:dyDescent="0.35">
      <c r="A65" s="30"/>
      <c r="B65" s="24" t="s">
        <v>15</v>
      </c>
      <c r="C65" s="4">
        <f>'REMIND SSP1-RCP1.9'!C65/K$14*K$13</f>
        <v>1.9288799298536627</v>
      </c>
      <c r="D65" s="4">
        <f>'REMIND SSP1-RCP1.9'!D65/L$14*L$13</f>
        <v>1.7398947037801222</v>
      </c>
      <c r="E65" s="4">
        <f>'REMIND SSP1-RCP1.9'!E65/M$14*M$13</f>
        <v>0.8615060937873531</v>
      </c>
      <c r="F65" s="4">
        <f>'REMIND SSP1-RCP1.9'!F65/N$14*N$13</f>
        <v>1.7951919981629223E-2</v>
      </c>
      <c r="G65" s="4">
        <f>'REMIND SSP1-RCP1.9'!G65/O$14*O$13</f>
        <v>0.50551752360479685</v>
      </c>
      <c r="H65" s="4">
        <f>'REMIND SSP1-RCP1.9'!H65/P$14*P$13</f>
        <v>1.2090132431941215E-2</v>
      </c>
    </row>
    <row r="66" spans="1:8" x14ac:dyDescent="0.35">
      <c r="A66" s="30" t="s">
        <v>22</v>
      </c>
      <c r="B66" s="24" t="s">
        <v>16</v>
      </c>
      <c r="C66" s="4">
        <f>'REMIND SSP1-RCP1.9'!C66/K$14*K$13</f>
        <v>1.0332829962259993</v>
      </c>
      <c r="D66" s="4">
        <f>'REMIND SSP1-RCP1.9'!D66/L$14*L$13</f>
        <v>0.5200997440466768</v>
      </c>
      <c r="E66" s="4">
        <f>'REMIND SSP1-RCP1.9'!E66/M$14*M$13</f>
        <v>0</v>
      </c>
      <c r="F66" s="4">
        <f>'REMIND SSP1-RCP1.9'!F66/N$14*N$13</f>
        <v>0</v>
      </c>
      <c r="G66" s="4">
        <f>'REMIND SSP1-RCP1.9'!G66/O$14*O$13</f>
        <v>0</v>
      </c>
      <c r="H66" s="4">
        <f>'REMIND SSP1-RCP1.9'!H66/P$14*P$13</f>
        <v>0</v>
      </c>
    </row>
    <row r="67" spans="1:8" x14ac:dyDescent="0.35">
      <c r="A67" s="30"/>
      <c r="B67" s="24" t="s">
        <v>9</v>
      </c>
      <c r="C67" s="4">
        <f>'REMIND SSP1-RCP1.9'!C67/K$14*K$13</f>
        <v>0.63070389928372728</v>
      </c>
      <c r="D67" s="4">
        <f>'REMIND SSP1-RCP1.9'!D67/L$14*L$13</f>
        <v>0.31781979387733006</v>
      </c>
      <c r="E67" s="4">
        <f>'REMIND SSP1-RCP1.9'!E67/M$14*M$13</f>
        <v>3.4119446975764789E-4</v>
      </c>
      <c r="F67" s="4">
        <f>'REMIND SSP1-RCP1.9'!F67/N$14*N$13</f>
        <v>2.0441851501355668E-5</v>
      </c>
      <c r="G67" s="4">
        <f>'REMIND SSP1-RCP1.9'!G67/O$14*O$13</f>
        <v>1.6751135632883741E-4</v>
      </c>
      <c r="H67" s="4">
        <f>'REMIND SSP1-RCP1.9'!H67/P$14*P$13</f>
        <v>1.0087137769136987E-4</v>
      </c>
    </row>
    <row r="68" spans="1:8" x14ac:dyDescent="0.35">
      <c r="A68" s="30"/>
      <c r="B68" s="24" t="s">
        <v>10</v>
      </c>
      <c r="C68" s="4">
        <f>'REMIND SSP1-RCP1.9'!C68/K$14*K$13</f>
        <v>0.17418037593004826</v>
      </c>
      <c r="D68" s="4">
        <f>'REMIND SSP1-RCP1.9'!D68/L$14*L$13</f>
        <v>0.62041772968013098</v>
      </c>
      <c r="E68" s="4">
        <f>'REMIND SSP1-RCP1.9'!E68/M$14*M$13</f>
        <v>0.96398256085841527</v>
      </c>
      <c r="F68" s="4">
        <f>'REMIND SSP1-RCP1.9'!F68/N$14*N$13</f>
        <v>2.4132492761897877E-2</v>
      </c>
      <c r="G68" s="4">
        <f>'REMIND SSP1-RCP1.9'!G68/O$14*O$13</f>
        <v>0.1407348701712402</v>
      </c>
      <c r="H68" s="4">
        <f>'REMIND SSP1-RCP1.9'!H68/P$14*P$13</f>
        <v>1.2019993082094449E-2</v>
      </c>
    </row>
    <row r="69" spans="1:8" x14ac:dyDescent="0.35">
      <c r="A69" s="30"/>
      <c r="B69" s="24" t="s">
        <v>11</v>
      </c>
      <c r="C69" s="4">
        <f>'REMIND SSP1-RCP1.9'!C69/K$14*K$13</f>
        <v>0</v>
      </c>
      <c r="D69" s="4">
        <f>'REMIND SSP1-RCP1.9'!D69/L$14*L$13</f>
        <v>0</v>
      </c>
      <c r="E69" s="4">
        <f>'REMIND SSP1-RCP1.9'!E69/M$14*M$13</f>
        <v>0</v>
      </c>
      <c r="F69" s="4">
        <f>'REMIND SSP1-RCP1.9'!F69/N$14*N$13</f>
        <v>0</v>
      </c>
      <c r="G69" s="4">
        <f>'REMIND SSP1-RCP1.9'!G69/O$14*O$13</f>
        <v>0</v>
      </c>
      <c r="H69" s="4">
        <f>'REMIND SSP1-RCP1.9'!H69/P$14*P$13</f>
        <v>0</v>
      </c>
    </row>
    <row r="70" spans="1:8" x14ac:dyDescent="0.35">
      <c r="A70" s="30"/>
      <c r="B70" s="24" t="s">
        <v>12</v>
      </c>
      <c r="C70" s="4">
        <f>'REMIND SSP1-RCP1.9'!C70/K$14*K$13</f>
        <v>0</v>
      </c>
      <c r="D70" s="4">
        <f>'REMIND SSP1-RCP1.9'!D70/L$14*L$13</f>
        <v>0</v>
      </c>
      <c r="E70" s="4">
        <f>'REMIND SSP1-RCP1.9'!E70/M$14*M$13</f>
        <v>0</v>
      </c>
      <c r="F70" s="4">
        <f>'REMIND SSP1-RCP1.9'!F70/N$14*N$13</f>
        <v>0</v>
      </c>
      <c r="G70" s="4">
        <f>'REMIND SSP1-RCP1.9'!G70/O$14*O$13</f>
        <v>0</v>
      </c>
      <c r="H70" s="4">
        <f>'REMIND SSP1-RCP1.9'!H70/P$14*P$13</f>
        <v>0</v>
      </c>
    </row>
    <row r="71" spans="1:8" x14ac:dyDescent="0.35">
      <c r="A71" s="30"/>
      <c r="B71" s="24" t="s">
        <v>13</v>
      </c>
      <c r="C71" s="4">
        <f>'REMIND SSP1-RCP1.9'!C71/K$14*K$13</f>
        <v>0</v>
      </c>
      <c r="D71" s="4">
        <f>'REMIND SSP1-RCP1.9'!D71/L$14*L$13</f>
        <v>0</v>
      </c>
      <c r="E71" s="4">
        <f>'REMIND SSP1-RCP1.9'!E71/M$14*M$13</f>
        <v>0</v>
      </c>
      <c r="F71" s="4">
        <f>'REMIND SSP1-RCP1.9'!F71/N$14*N$13</f>
        <v>0</v>
      </c>
      <c r="G71" s="4">
        <f>'REMIND SSP1-RCP1.9'!G71/O$14*O$13</f>
        <v>0</v>
      </c>
      <c r="H71" s="4">
        <f>'REMIND SSP1-RCP1.9'!H71/P$14*P$13</f>
        <v>0</v>
      </c>
    </row>
    <row r="72" spans="1:8" x14ac:dyDescent="0.35">
      <c r="A72" s="30"/>
      <c r="B72" s="24" t="s">
        <v>14</v>
      </c>
      <c r="C72" s="4">
        <f>'REMIND SSP1-RCP1.9'!C72/K$14*K$13</f>
        <v>0</v>
      </c>
      <c r="D72" s="4">
        <f>'REMIND SSP1-RCP1.9'!D72/L$14*L$13</f>
        <v>0</v>
      </c>
      <c r="E72" s="4">
        <f>'REMIND SSP1-RCP1.9'!E72/M$14*M$13</f>
        <v>0</v>
      </c>
      <c r="F72" s="4">
        <f>'REMIND SSP1-RCP1.9'!F72/N$14*N$13</f>
        <v>0</v>
      </c>
      <c r="G72" s="4">
        <f>'REMIND SSP1-RCP1.9'!G72/O$14*O$13</f>
        <v>0</v>
      </c>
      <c r="H72" s="4">
        <f>'REMIND SSP1-RCP1.9'!H72/P$14*P$13</f>
        <v>0</v>
      </c>
    </row>
    <row r="73" spans="1:8" x14ac:dyDescent="0.35">
      <c r="A73" s="30"/>
      <c r="B73" s="24" t="s">
        <v>15</v>
      </c>
      <c r="C73" s="4">
        <f>'REMIND SSP1-RCP1.9'!C73/K$14*K$13</f>
        <v>1.7651651677216891</v>
      </c>
      <c r="D73" s="4">
        <f>'REMIND SSP1-RCP1.9'!D73/L$14*L$13</f>
        <v>1.4215918884608416</v>
      </c>
      <c r="E73" s="4">
        <f>'REMIND SSP1-RCP1.9'!E73/M$14*M$13</f>
        <v>0.96432375532817316</v>
      </c>
      <c r="F73" s="4">
        <f>'REMIND SSP1-RCP1.9'!F73/N$14*N$13</f>
        <v>2.4152934613399228E-2</v>
      </c>
      <c r="G73" s="4">
        <f>'REMIND SSP1-RCP1.9'!G73/O$14*O$13</f>
        <v>0.14090238152756906</v>
      </c>
      <c r="H73" s="4">
        <f>'REMIND SSP1-RCP1.9'!H73/P$14*P$13</f>
        <v>1.2120864459785819E-2</v>
      </c>
    </row>
  </sheetData>
  <mergeCells count="10">
    <mergeCell ref="A42:A49"/>
    <mergeCell ref="A50:A57"/>
    <mergeCell ref="A58:A65"/>
    <mergeCell ref="A66:A73"/>
    <mergeCell ref="K1:P1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1C45-F47B-44D6-88D9-D5E04196A656}">
  <dimension ref="A1:P73"/>
  <sheetViews>
    <sheetView workbookViewId="0">
      <selection activeCell="H65" sqref="H65"/>
    </sheetView>
  </sheetViews>
  <sheetFormatPr baseColWidth="10" defaultRowHeight="14.5" x14ac:dyDescent="0.35"/>
  <sheetData>
    <row r="1" spans="1:16" x14ac:dyDescent="0.35"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K1" s="29" t="s">
        <v>29</v>
      </c>
      <c r="L1" s="29"/>
      <c r="M1" s="29"/>
      <c r="N1" s="29"/>
      <c r="O1" s="29"/>
      <c r="P1" s="29"/>
    </row>
    <row r="2" spans="1:16" x14ac:dyDescent="0.35">
      <c r="A2" s="30" t="s">
        <v>8</v>
      </c>
      <c r="B2" s="24" t="s">
        <v>16</v>
      </c>
      <c r="C2" s="4">
        <f>'REMIND SSP2-NPi'!C2/K$14*K$13</f>
        <v>1.0332829962259993</v>
      </c>
      <c r="D2" s="4">
        <f>'REMIND SSP2-NPi'!D2/L$14*L$13</f>
        <v>0.5200997440466768</v>
      </c>
      <c r="E2" s="4">
        <f>'REMIND SSP2-NPi'!E2/M$14*M$13</f>
        <v>0</v>
      </c>
      <c r="F2" s="4">
        <f>'REMIND SSP2-NPi'!F2/N$14*N$13</f>
        <v>0</v>
      </c>
      <c r="G2" s="4">
        <f>'REMIND SSP2-NPi'!G2/O$14*O$13</f>
        <v>0</v>
      </c>
      <c r="H2" s="4">
        <f>'REMIND SSP2-NPi'!H2/P$14*P$13</f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24" t="s">
        <v>9</v>
      </c>
      <c r="C3" s="4">
        <f>'REMIND SSP2-NPi'!C3/K$14*K$13</f>
        <v>1.5919611330028054</v>
      </c>
      <c r="D3" s="4">
        <f>'REMIND SSP2-NPi'!D3/L$14*L$13</f>
        <v>0.82076764777391709</v>
      </c>
      <c r="E3" s="4">
        <f>'REMIND SSP2-NPi'!E3/M$14*M$13</f>
        <v>3.3967807794860305E-2</v>
      </c>
      <c r="F3" s="4">
        <f>'REMIND SSP2-NPi'!F3/N$14*N$13</f>
        <v>1.9191361435248408E-3</v>
      </c>
      <c r="G3" s="4">
        <f>'REMIND SSP2-NPi'!G3/O$14*O$13</f>
        <v>8.8989164715128685E-3</v>
      </c>
      <c r="H3" s="4">
        <f>'REMIND SSP2-NPi'!H3/P$14*P$13</f>
        <v>1.0485912490596721E-2</v>
      </c>
      <c r="J3" s="5" t="s">
        <v>25</v>
      </c>
      <c r="K3" s="7">
        <f>C17/C9</f>
        <v>1.0638541318477071</v>
      </c>
      <c r="L3" s="7">
        <f t="shared" ref="L3:P3" si="0">D17/D9</f>
        <v>1.5785623014873409</v>
      </c>
      <c r="M3" s="7">
        <f t="shared" si="0"/>
        <v>4.4744568529628541</v>
      </c>
      <c r="N3" s="7">
        <f t="shared" si="0"/>
        <v>4.6044057133284486</v>
      </c>
      <c r="O3" s="7">
        <f t="shared" si="0"/>
        <v>5.9263668783248162</v>
      </c>
      <c r="P3" s="7">
        <f t="shared" si="0"/>
        <v>1.44047190775124</v>
      </c>
    </row>
    <row r="4" spans="1:16" x14ac:dyDescent="0.35">
      <c r="A4" s="30"/>
      <c r="B4" s="24" t="s">
        <v>10</v>
      </c>
      <c r="C4" s="4">
        <f>'REMIND SSP2-NPi'!C4/K$14*K$13</f>
        <v>0</v>
      </c>
      <c r="D4" s="4">
        <f>'REMIND SSP2-NPi'!D4/L$14*L$13</f>
        <v>0</v>
      </c>
      <c r="E4" s="4">
        <f>'REMIND SSP2-NPi'!E4/M$14*M$13</f>
        <v>0</v>
      </c>
      <c r="F4" s="4">
        <f>'REMIND SSP2-NPi'!F4/N$14*N$13</f>
        <v>0</v>
      </c>
      <c r="G4" s="4">
        <f>'REMIND SSP2-NPi'!G4/O$14*O$13</f>
        <v>0</v>
      </c>
      <c r="H4" s="4">
        <f>'REMIND SSP2-NPi'!H4/P$14*P$13</f>
        <v>0</v>
      </c>
      <c r="J4" s="5" t="s">
        <v>26</v>
      </c>
      <c r="K4" s="7">
        <f>C25/C9</f>
        <v>1.1275189609476708</v>
      </c>
      <c r="L4" s="7">
        <f t="shared" ref="L4:P4" si="1">D25/D9</f>
        <v>2.5766645031574074</v>
      </c>
      <c r="M4" s="7">
        <f t="shared" si="1"/>
        <v>9.8287867615525286</v>
      </c>
      <c r="N4" s="7">
        <f t="shared" si="1"/>
        <v>10.933785538088317</v>
      </c>
      <c r="O4" s="7">
        <f t="shared" si="1"/>
        <v>12.808844162208588</v>
      </c>
      <c r="P4" s="7">
        <f t="shared" si="1"/>
        <v>2.2246409557329625</v>
      </c>
    </row>
    <row r="5" spans="1:16" x14ac:dyDescent="0.35">
      <c r="A5" s="30"/>
      <c r="B5" s="24" t="s">
        <v>11</v>
      </c>
      <c r="C5" s="4">
        <f>'REMIND SSP2-NPi'!C5/K$14*K$13</f>
        <v>0</v>
      </c>
      <c r="D5" s="4">
        <f>'REMIND SSP2-NPi'!D5/L$14*L$13</f>
        <v>0</v>
      </c>
      <c r="E5" s="4">
        <f>'REMIND SSP2-NPi'!E5/M$14*M$13</f>
        <v>0</v>
      </c>
      <c r="F5" s="4">
        <f>'REMIND SSP2-NPi'!F5/N$14*N$13</f>
        <v>0</v>
      </c>
      <c r="G5" s="4">
        <f>'REMIND SSP2-NPi'!G5/O$14*O$13</f>
        <v>0</v>
      </c>
      <c r="H5" s="4">
        <f>'REMIND SSP2-NPi'!H5/P$14*P$13</f>
        <v>0</v>
      </c>
      <c r="J5" s="5" t="s">
        <v>28</v>
      </c>
      <c r="K5" s="7">
        <f>C33/C9</f>
        <v>1.361677303041986</v>
      </c>
      <c r="L5" s="7">
        <f t="shared" ref="L5:P5" si="2">D33/D9</f>
        <v>2.6458342874334715</v>
      </c>
      <c r="M5" s="7">
        <f t="shared" si="2"/>
        <v>17.874846618347878</v>
      </c>
      <c r="N5" s="7">
        <f t="shared" si="2"/>
        <v>16.793849676370158</v>
      </c>
      <c r="O5" s="7">
        <f t="shared" si="2"/>
        <v>28.634727244195798</v>
      </c>
      <c r="P5" s="7">
        <f t="shared" si="2"/>
        <v>2.19056148809744</v>
      </c>
    </row>
    <row r="6" spans="1:16" x14ac:dyDescent="0.35">
      <c r="A6" s="30"/>
      <c r="B6" s="24" t="s">
        <v>12</v>
      </c>
      <c r="C6" s="4">
        <f>'REMIND SSP2-NPi'!C6/K$14*K$13</f>
        <v>0</v>
      </c>
      <c r="D6" s="4">
        <f>'REMIND SSP2-NPi'!D6/L$14*L$13</f>
        <v>0</v>
      </c>
      <c r="E6" s="4">
        <f>'REMIND SSP2-NPi'!E6/M$14*M$13</f>
        <v>0</v>
      </c>
      <c r="F6" s="4">
        <f>'REMIND SSP2-NPi'!F6/N$14*N$13</f>
        <v>0</v>
      </c>
      <c r="G6" s="4">
        <f>'REMIND SSP2-NPi'!G6/O$14*O$13</f>
        <v>0</v>
      </c>
      <c r="H6" s="4">
        <f>'REMIND SSP2-NPi'!H6/P$14*P$13</f>
        <v>0</v>
      </c>
      <c r="J6" s="5" t="s">
        <v>27</v>
      </c>
      <c r="K6" s="7">
        <f>C41/C9</f>
        <v>1.1189206593482592</v>
      </c>
      <c r="L6" s="7">
        <f t="shared" ref="L6:P6" si="3">D41/D9</f>
        <v>2.1637421268776929</v>
      </c>
      <c r="M6" s="7">
        <f t="shared" si="3"/>
        <v>11.610628230269823</v>
      </c>
      <c r="N6" s="7">
        <f t="shared" si="3"/>
        <v>9.0994842251713006</v>
      </c>
      <c r="O6" s="7">
        <f t="shared" si="3"/>
        <v>18.706895399425918</v>
      </c>
      <c r="P6" s="7">
        <f t="shared" si="3"/>
        <v>1.9496459746206893</v>
      </c>
    </row>
    <row r="7" spans="1:16" x14ac:dyDescent="0.35">
      <c r="A7" s="30"/>
      <c r="B7" s="24" t="s">
        <v>13</v>
      </c>
      <c r="C7" s="4">
        <f>'REMIND SSP2-NPi'!C7/K$14*K$13</f>
        <v>0</v>
      </c>
      <c r="D7" s="4">
        <f>'REMIND SSP2-NPi'!D7/L$14*L$13</f>
        <v>0</v>
      </c>
      <c r="E7" s="4">
        <f>'REMIND SSP2-NPi'!E7/M$14*M$13</f>
        <v>0</v>
      </c>
      <c r="F7" s="4">
        <f>'REMIND SSP2-NPi'!F7/N$14*N$13</f>
        <v>0</v>
      </c>
      <c r="G7" s="4">
        <f>'REMIND SSP2-NPi'!G7/O$14*O$13</f>
        <v>0</v>
      </c>
      <c r="H7" s="4">
        <f>'REMIND SSP2-NPi'!H7/P$14*P$13</f>
        <v>0</v>
      </c>
      <c r="J7" s="5" t="s">
        <v>23</v>
      </c>
      <c r="K7" s="7">
        <f>C49/C9</f>
        <v>0.69107656840358367</v>
      </c>
      <c r="L7" s="7">
        <f t="shared" ref="L7:P7" si="4">D49/D9</f>
        <v>3.2769703649052389</v>
      </c>
      <c r="M7" s="7">
        <f t="shared" si="4"/>
        <v>9.9838033543049214</v>
      </c>
      <c r="N7" s="7">
        <f t="shared" si="4"/>
        <v>17.19067305560516</v>
      </c>
      <c r="O7" s="7">
        <f t="shared" si="4"/>
        <v>7.4476488832234118</v>
      </c>
      <c r="P7" s="7">
        <f t="shared" si="4"/>
        <v>3.0734051315023505</v>
      </c>
    </row>
    <row r="8" spans="1:16" x14ac:dyDescent="0.35">
      <c r="A8" s="30"/>
      <c r="B8" s="24" t="s">
        <v>14</v>
      </c>
      <c r="C8" s="4">
        <f>'REMIND SSP2-NPi'!C8/K$14*K$13</f>
        <v>0</v>
      </c>
      <c r="D8" s="4">
        <f>'REMIND SSP2-NPi'!D8/L$14*L$13</f>
        <v>0</v>
      </c>
      <c r="E8" s="4">
        <f>'REMIND SSP2-NPi'!E8/M$14*M$13</f>
        <v>0</v>
      </c>
      <c r="F8" s="4">
        <f>'REMIND SSP2-NPi'!F8/N$14*N$13</f>
        <v>0</v>
      </c>
      <c r="G8" s="4">
        <f>'REMIND SSP2-NPi'!G8/O$14*O$13</f>
        <v>0</v>
      </c>
      <c r="H8" s="4">
        <f>'REMIND SSP2-NPi'!H8/P$14*P$13</f>
        <v>0</v>
      </c>
      <c r="J8" s="5" t="s">
        <v>24</v>
      </c>
      <c r="K8" s="7">
        <f>C57/C9</f>
        <v>0.7068478592969496</v>
      </c>
      <c r="L8" s="7">
        <f t="shared" ref="L8:P8" si="5">D57/D9</f>
        <v>1.6558313178511965</v>
      </c>
      <c r="M8" s="7">
        <f t="shared" si="5"/>
        <v>30.262014954252638</v>
      </c>
      <c r="N8" s="7">
        <f t="shared" si="5"/>
        <v>38.253034432739071</v>
      </c>
      <c r="O8" s="7">
        <f t="shared" si="5"/>
        <v>15.362475636505515</v>
      </c>
      <c r="P8" s="7">
        <f t="shared" si="5"/>
        <v>6.1215716331593555</v>
      </c>
    </row>
    <row r="9" spans="1:16" x14ac:dyDescent="0.35">
      <c r="A9" s="30"/>
      <c r="B9" s="24" t="s">
        <v>15</v>
      </c>
      <c r="C9" s="4">
        <f>'REMIND SSP2-NPi'!C9/K$14*K$13</f>
        <v>2.5522420255107194</v>
      </c>
      <c r="D9" s="4">
        <f>'REMIND SSP2-NPi'!D9/L$14*L$13</f>
        <v>1.3041220126772979</v>
      </c>
      <c r="E9" s="4">
        <f>'REMIND SSP2-NPi'!E9/M$14*M$13</f>
        <v>3.3967807794860305E-2</v>
      </c>
      <c r="F9" s="4">
        <f>'REMIND SSP2-NPi'!F9/N$14*N$13</f>
        <v>1.9191361435248408E-3</v>
      </c>
      <c r="G9" s="4">
        <f>'REMIND SSP2-NPi'!G9/O$14*O$13</f>
        <v>8.8989164715128685E-3</v>
      </c>
      <c r="H9" s="4">
        <f>'REMIND SSP2-NPi'!H9/P$14*P$13</f>
        <v>1.0485912490596721E-2</v>
      </c>
      <c r="J9" s="5" t="s">
        <v>21</v>
      </c>
      <c r="K9" s="7">
        <f>C65/C9</f>
        <v>2.1264949704862901</v>
      </c>
      <c r="L9" s="7">
        <f t="shared" ref="L9:P9" si="6">D65/D9</f>
        <v>2.4901539637709287</v>
      </c>
      <c r="M9" s="7">
        <f t="shared" si="6"/>
        <v>22.043113780117313</v>
      </c>
      <c r="N9" s="7">
        <f t="shared" si="6"/>
        <v>7.7299812527773106</v>
      </c>
      <c r="O9" s="7">
        <f t="shared" si="6"/>
        <v>44.660928038703453</v>
      </c>
      <c r="P9" s="7">
        <f t="shared" si="6"/>
        <v>1.6139890894756448</v>
      </c>
    </row>
    <row r="10" spans="1:16" x14ac:dyDescent="0.35">
      <c r="A10" s="30" t="s">
        <v>25</v>
      </c>
      <c r="B10" s="24" t="s">
        <v>16</v>
      </c>
      <c r="C10" s="4">
        <f>'REMIND SSP2-NPi'!C10/K$14*K$13</f>
        <v>1.0332829962259993</v>
      </c>
      <c r="D10" s="4">
        <f>'REMIND SSP2-NPi'!D10/L$14*L$13</f>
        <v>0.5200997440466768</v>
      </c>
      <c r="E10" s="4">
        <f>'REMIND SSP2-NPi'!E10/M$14*M$13</f>
        <v>0</v>
      </c>
      <c r="F10" s="4">
        <f>'REMIND SSP2-NPi'!F10/N$14*N$13</f>
        <v>0</v>
      </c>
      <c r="G10" s="4">
        <f>'REMIND SSP2-NPi'!G10/O$14*O$13</f>
        <v>0</v>
      </c>
      <c r="H10" s="4">
        <f>'REMIND SSP2-NPi'!H10/P$14*P$13</f>
        <v>0</v>
      </c>
      <c r="J10" s="5" t="s">
        <v>22</v>
      </c>
      <c r="K10" s="7">
        <f>C73/C9</f>
        <v>0.69146172501006009</v>
      </c>
      <c r="L10" s="7">
        <f t="shared" ref="L10:P10" si="7">D73/D9</f>
        <v>1.0552596217594938</v>
      </c>
      <c r="M10" s="7">
        <f t="shared" si="7"/>
        <v>21.316573430855907</v>
      </c>
      <c r="N10" s="7">
        <f t="shared" si="7"/>
        <v>12.371852604830403</v>
      </c>
      <c r="O10" s="7">
        <f t="shared" si="7"/>
        <v>13.637827075025969</v>
      </c>
      <c r="P10" s="7">
        <f t="shared" si="7"/>
        <v>1.1418396636545336</v>
      </c>
    </row>
    <row r="11" spans="1:16" x14ac:dyDescent="0.35">
      <c r="A11" s="30"/>
      <c r="B11" s="24" t="s">
        <v>9</v>
      </c>
      <c r="C11" s="4">
        <f>'REMIND SSP2-NPi'!C11/K$14*K$13</f>
        <v>1.3947229022230256</v>
      </c>
      <c r="D11" s="4">
        <f>'REMIND SSP2-NPi'!D11/L$14*L$13</f>
        <v>0.71623834922561458</v>
      </c>
      <c r="E11" s="4">
        <f>'REMIND SSP2-NPi'!E11/M$14*M$13</f>
        <v>2.4803272750243181E-2</v>
      </c>
      <c r="F11" s="4">
        <f>'REMIND SSP2-NPi'!F11/N$14*N$13</f>
        <v>1.4013520536906416E-3</v>
      </c>
      <c r="G11" s="4">
        <f>'REMIND SSP2-NPi'!G11/O$14*O$13</f>
        <v>6.4979834364807887E-3</v>
      </c>
      <c r="H11" s="4">
        <f>'REMIND SSP2-NPi'!H11/P$14*P$13</f>
        <v>7.6568069717706591E-3</v>
      </c>
    </row>
    <row r="12" spans="1:16" x14ac:dyDescent="0.35">
      <c r="A12" s="30"/>
      <c r="B12" s="24" t="s">
        <v>10</v>
      </c>
      <c r="C12" s="4">
        <f>'REMIND SSP2-NPi'!C12/K$14*K$13</f>
        <v>0.34031030437518955</v>
      </c>
      <c r="D12" s="4">
        <f>'REMIND SSP2-NPi'!D12/L$14*L$13</f>
        <v>0.21520299623219685</v>
      </c>
      <c r="E12" s="4">
        <f>'REMIND SSP2-NPi'!E12/M$14*M$13</f>
        <v>6.3755638920017704E-2</v>
      </c>
      <c r="F12" s="4">
        <f>'REMIND SSP2-NPi'!F12/N$14*N$13</f>
        <v>1.2621591169136713E-3</v>
      </c>
      <c r="G12" s="4">
        <f>'REMIND SSP2-NPi'!G12/O$14*O$13</f>
        <v>3.3848405568257786E-2</v>
      </c>
      <c r="H12" s="4">
        <f>'REMIND SSP2-NPi'!H12/P$14*P$13</f>
        <v>1.4331733983840443E-3</v>
      </c>
      <c r="J12" t="s">
        <v>33</v>
      </c>
      <c r="K12" s="24" t="s">
        <v>2</v>
      </c>
      <c r="L12" s="24" t="s">
        <v>3</v>
      </c>
      <c r="M12" s="24" t="s">
        <v>4</v>
      </c>
      <c r="N12" s="24" t="s">
        <v>5</v>
      </c>
      <c r="O12" s="24" t="s">
        <v>6</v>
      </c>
      <c r="P12" s="24" t="s">
        <v>7</v>
      </c>
    </row>
    <row r="13" spans="1:16" x14ac:dyDescent="0.35">
      <c r="A13" s="30"/>
      <c r="B13" s="24" t="s">
        <v>11</v>
      </c>
      <c r="C13" s="4">
        <f>'REMIND SSP2-NPi'!C13/K$14*K$13</f>
        <v>8.7160297950437227E-2</v>
      </c>
      <c r="D13" s="4">
        <f>'REMIND SSP2-NPi'!D13/L$14*L$13</f>
        <v>0.25153580418345339</v>
      </c>
      <c r="E13" s="4">
        <f>'REMIND SSP2-NPi'!E13/M$14*M$13</f>
        <v>1.3453944000038007E-2</v>
      </c>
      <c r="F13" s="4">
        <f>'REMIND SSP2-NPi'!F13/N$14*N$13</f>
        <v>1.3259833519328656E-3</v>
      </c>
      <c r="G13" s="4">
        <f>'REMIND SSP2-NPi'!G13/O$14*O$13</f>
        <v>5.0868850876866836E-3</v>
      </c>
      <c r="H13" s="4">
        <f>'REMIND SSP2-NPi'!H13/P$14*P$13</f>
        <v>1.892844413593592E-3</v>
      </c>
      <c r="J13" t="s">
        <v>34</v>
      </c>
      <c r="K13" s="15">
        <v>0.9</v>
      </c>
      <c r="L13" s="15">
        <v>1.2E-2</v>
      </c>
      <c r="M13" s="15">
        <v>0.02</v>
      </c>
      <c r="N13" s="15">
        <v>2E-3</v>
      </c>
      <c r="O13" s="15">
        <v>2.2000000000000002</v>
      </c>
      <c r="P13" s="15">
        <v>0.4</v>
      </c>
    </row>
    <row r="14" spans="1:16" x14ac:dyDescent="0.35">
      <c r="A14" s="30"/>
      <c r="B14" s="24" t="s">
        <v>12</v>
      </c>
      <c r="C14" s="4">
        <f>'REMIND SSP2-NPi'!C14/K$14*K$13</f>
        <v>-7.1351568224820944E-2</v>
      </c>
      <c r="D14" s="4">
        <f>'REMIND SSP2-NPi'!D14/L$14*L$13</f>
        <v>0.38780633388943553</v>
      </c>
      <c r="E14" s="4">
        <f>'REMIND SSP2-NPi'!E14/M$14*M$13</f>
        <v>1.0566541307470393E-2</v>
      </c>
      <c r="F14" s="4">
        <f>'REMIND SSP2-NPi'!F14/N$14*N$13</f>
        <v>2.1667695116630724E-3</v>
      </c>
      <c r="G14" s="4">
        <f>'REMIND SSP2-NPi'!G14/O$14*O$13</f>
        <v>2.3894227005198886E-3</v>
      </c>
      <c r="H14" s="4">
        <f>'REMIND SSP2-NPi'!H14/P$14*P$13</f>
        <v>1.832467593720858E-3</v>
      </c>
      <c r="J14" t="s">
        <v>35</v>
      </c>
      <c r="K14" s="15">
        <v>2.9</v>
      </c>
      <c r="L14" s="15">
        <v>2.9</v>
      </c>
      <c r="M14" s="15">
        <v>2.9</v>
      </c>
      <c r="N14" s="15">
        <v>2.9</v>
      </c>
      <c r="O14" s="15">
        <v>2.9</v>
      </c>
      <c r="P14" s="15">
        <v>2.9</v>
      </c>
    </row>
    <row r="15" spans="1:16" x14ac:dyDescent="0.35">
      <c r="A15" s="30"/>
      <c r="B15" s="24" t="s">
        <v>13</v>
      </c>
      <c r="C15" s="4">
        <f>'REMIND SSP2-NPi'!C15/K$14*K$13</f>
        <v>4.0903954831942573E-3</v>
      </c>
      <c r="D15" s="4">
        <f>'REMIND SSP2-NPi'!D15/L$14*L$13</f>
        <v>4.4999973180975235E-3</v>
      </c>
      <c r="E15" s="4">
        <f>'REMIND SSP2-NPi'!E15/M$14*M$13</f>
        <v>3.9408093390068462E-2</v>
      </c>
      <c r="F15" s="4">
        <f>'REMIND SSP2-NPi'!F15/N$14*N$13</f>
        <v>2.6802173897006528E-3</v>
      </c>
      <c r="G15" s="4">
        <f>'REMIND SSP2-NPi'!G15/O$14*O$13</f>
        <v>4.915547036807859E-3</v>
      </c>
      <c r="H15" s="4">
        <f>'REMIND SSP2-NPi'!H15/P$14*P$13</f>
        <v>2.2893699923732637E-3</v>
      </c>
    </row>
    <row r="16" spans="1:16" x14ac:dyDescent="0.35">
      <c r="A16" s="30"/>
      <c r="B16" s="24" t="s">
        <v>14</v>
      </c>
      <c r="C16" s="4">
        <f>'REMIND SSP2-NPi'!C16/K$14*K$13</f>
        <v>0</v>
      </c>
      <c r="D16" s="4">
        <f>'REMIND SSP2-NPi'!D16/L$14*L$13</f>
        <v>0</v>
      </c>
      <c r="E16" s="4">
        <f>'REMIND SSP2-NPi'!E16/M$14*M$13</f>
        <v>0</v>
      </c>
      <c r="F16" s="4">
        <f>'REMIND SSP2-NPi'!F16/N$14*N$13</f>
        <v>0</v>
      </c>
      <c r="G16" s="4">
        <f>'REMIND SSP2-NPi'!G16/O$14*O$13</f>
        <v>0</v>
      </c>
      <c r="H16" s="4">
        <f>'REMIND SSP2-NPi'!H16/P$14*P$13</f>
        <v>0</v>
      </c>
    </row>
    <row r="17" spans="1:8" x14ac:dyDescent="0.35">
      <c r="A17" s="30"/>
      <c r="B17" s="24" t="s">
        <v>15</v>
      </c>
      <c r="C17" s="4">
        <f>'REMIND SSP2-NPi'!C17/K$14*K$13</f>
        <v>2.7152132243149398</v>
      </c>
      <c r="D17" s="4">
        <f>'REMIND SSP2-NPi'!D17/L$14*L$13</f>
        <v>2.0586378457521786</v>
      </c>
      <c r="E17" s="4">
        <f>'REMIND SSP2-NPi'!E17/M$14*M$13</f>
        <v>0.15198749036783774</v>
      </c>
      <c r="F17" s="4">
        <f>'REMIND SSP2-NPi'!F17/N$14*N$13</f>
        <v>8.8364814239009024E-3</v>
      </c>
      <c r="G17" s="4">
        <f>'REMIND SSP2-NPi'!G17/O$14*O$13</f>
        <v>5.2738243829753007E-2</v>
      </c>
      <c r="H17" s="4">
        <f>'REMIND SSP2-NPi'!H17/P$14*P$13</f>
        <v>1.5104662369842415E-2</v>
      </c>
    </row>
    <row r="18" spans="1:8" x14ac:dyDescent="0.35">
      <c r="A18" s="30" t="s">
        <v>26</v>
      </c>
      <c r="B18" s="24" t="s">
        <v>16</v>
      </c>
      <c r="C18" s="4">
        <f>'REMIND SSP2-NPi'!C18/K$14*K$13</f>
        <v>1.0332829962259993</v>
      </c>
      <c r="D18" s="4">
        <f>'REMIND SSP2-NPi'!D18/L$14*L$13</f>
        <v>0.5200997440466768</v>
      </c>
      <c r="E18" s="4">
        <f>'REMIND SSP2-NPi'!E18/M$14*M$13</f>
        <v>0</v>
      </c>
      <c r="F18" s="4">
        <f>'REMIND SSP2-NPi'!F18/N$14*N$13</f>
        <v>0</v>
      </c>
      <c r="G18" s="4">
        <f>'REMIND SSP2-NPi'!G18/O$14*O$13</f>
        <v>0</v>
      </c>
      <c r="H18" s="4">
        <f>'REMIND SSP2-NPi'!H18/P$14*P$13</f>
        <v>0</v>
      </c>
    </row>
    <row r="19" spans="1:8" x14ac:dyDescent="0.35">
      <c r="A19" s="30"/>
      <c r="B19" s="24" t="s">
        <v>9</v>
      </c>
      <c r="C19" s="4">
        <f>'REMIND SSP2-NPi'!C19/K$14*K$13</f>
        <v>0.96728841905619134</v>
      </c>
      <c r="D19" s="4">
        <f>'REMIND SSP2-NPi'!D19/L$14*L$13</f>
        <v>0.49235733154738265</v>
      </c>
      <c r="E19" s="4">
        <f>'REMIND SSP2-NPi'!E19/M$14*M$13</f>
        <v>9.5585087117492414E-3</v>
      </c>
      <c r="F19" s="4">
        <f>'REMIND SSP2-NPi'!F19/N$14*N$13</f>
        <v>5.4004308013338119E-4</v>
      </c>
      <c r="G19" s="4">
        <f>'REMIND SSP2-NPi'!G19/O$14*O$13</f>
        <v>2.5041466064511572E-3</v>
      </c>
      <c r="H19" s="4">
        <f>'REMIND SSP2-NPi'!H19/P$14*P$13</f>
        <v>2.950725772393672E-3</v>
      </c>
    </row>
    <row r="20" spans="1:8" x14ac:dyDescent="0.35">
      <c r="A20" s="30"/>
      <c r="B20" s="24" t="s">
        <v>10</v>
      </c>
      <c r="C20" s="4">
        <f>'REMIND SSP2-NPi'!C20/K$14*K$13</f>
        <v>0.87456688530719995</v>
      </c>
      <c r="D20" s="4">
        <f>'REMIND SSP2-NPi'!D20/L$14*L$13</f>
        <v>0.53898273970908572</v>
      </c>
      <c r="E20" s="4">
        <f>'REMIND SSP2-NPi'!E20/M$14*M$13</f>
        <v>0.14341719881799331</v>
      </c>
      <c r="F20" s="4">
        <f>'REMIND SSP2-NPi'!F20/N$14*N$13</f>
        <v>2.8392049405612089E-3</v>
      </c>
      <c r="G20" s="4">
        <f>'REMIND SSP2-NPi'!G20/O$14*O$13</f>
        <v>7.6141398522330858E-2</v>
      </c>
      <c r="H20" s="4">
        <f>'REMIND SSP2-NPi'!H20/P$14*P$13</f>
        <v>3.2238985868302305E-3</v>
      </c>
    </row>
    <row r="21" spans="1:8" x14ac:dyDescent="0.35">
      <c r="A21" s="30"/>
      <c r="B21" s="24" t="s">
        <v>11</v>
      </c>
      <c r="C21" s="4">
        <f>'REMIND SSP2-NPi'!C21/K$14*K$13</f>
        <v>0.32511947701921234</v>
      </c>
      <c r="D21" s="4">
        <f>'REMIND SSP2-NPi'!D21/L$14*L$13</f>
        <v>0.75586720783262817</v>
      </c>
      <c r="E21" s="4">
        <f>'REMIND SSP2-NPi'!E21/M$14*M$13</f>
        <v>3.8368172010759011E-2</v>
      </c>
      <c r="F21" s="4">
        <f>'REMIND SSP2-NPi'!F21/N$14*N$13</f>
        <v>3.7814604646949084E-3</v>
      </c>
      <c r="G21" s="4">
        <f>'REMIND SSP2-NPi'!G21/O$14*O$13</f>
        <v>1.4506859999029004E-2</v>
      </c>
      <c r="H21" s="4">
        <f>'REMIND SSP2-NPi'!H21/P$14*P$13</f>
        <v>5.3980438784462055E-3</v>
      </c>
    </row>
    <row r="22" spans="1:8" x14ac:dyDescent="0.35">
      <c r="A22" s="30"/>
      <c r="B22" s="24" t="s">
        <v>12</v>
      </c>
      <c r="C22" s="4">
        <f>'REMIND SSP2-NPi'!C22/K$14*K$13</f>
        <v>-0.2648929917715051</v>
      </c>
      <c r="D22" s="4">
        <f>'REMIND SSP2-NPi'!D22/L$14*L$13</f>
        <v>1.0750410252060332</v>
      </c>
      <c r="E22" s="4">
        <f>'REMIND SSP2-NPi'!E22/M$14*M$13</f>
        <v>3.013383097496683E-2</v>
      </c>
      <c r="F22" s="4">
        <f>'REMIND SSP2-NPi'!F22/N$14*N$13</f>
        <v>6.1792278406184991E-3</v>
      </c>
      <c r="G22" s="4">
        <f>'REMIND SSP2-NPi'!G22/O$14*O$13</f>
        <v>6.8141937546120626E-3</v>
      </c>
      <c r="H22" s="4">
        <f>'REMIND SSP2-NPi'!H22/P$14*P$13</f>
        <v>5.2258603008771935E-3</v>
      </c>
    </row>
    <row r="23" spans="1:8" x14ac:dyDescent="0.35">
      <c r="A23" s="30"/>
      <c r="B23" s="24" t="s">
        <v>13</v>
      </c>
      <c r="C23" s="4">
        <f>'REMIND SSP2-NPi'!C23/K$14*K$13</f>
        <v>1.5338594571813075E-2</v>
      </c>
      <c r="D23" s="4">
        <f>'REMIND SSP2-NPi'!D23/L$14*L$13</f>
        <v>1.4682228653276518E-2</v>
      </c>
      <c r="E23" s="4">
        <f>'REMIND SSP2-NPi'!E23/M$14*M$13</f>
        <v>0.11238462905761537</v>
      </c>
      <c r="F23" s="4">
        <f>'REMIND SSP2-NPi'!F23/N$14*N$13</f>
        <v>7.643486685686489E-3</v>
      </c>
      <c r="G23" s="4">
        <f>'REMIND SSP2-NPi'!G23/O$14*O$13</f>
        <v>1.4018235413696378E-2</v>
      </c>
      <c r="H23" s="4">
        <f>'REMIND SSP2-NPi'!H23/P$14*P$13</f>
        <v>6.5288618462659952E-3</v>
      </c>
    </row>
    <row r="24" spans="1:8" x14ac:dyDescent="0.35">
      <c r="A24" s="30"/>
      <c r="B24" s="24" t="s">
        <v>14</v>
      </c>
      <c r="C24" s="4">
        <f>'REMIND SSP2-NPi'!C24/K$14*K$13</f>
        <v>0</v>
      </c>
      <c r="D24" s="4">
        <f>'REMIND SSP2-NPi'!D24/L$14*L$13</f>
        <v>0</v>
      </c>
      <c r="E24" s="4">
        <f>'REMIND SSP2-NPi'!E24/M$14*M$13</f>
        <v>0</v>
      </c>
      <c r="F24" s="4">
        <f>'REMIND SSP2-NPi'!F24/N$14*N$13</f>
        <v>0</v>
      </c>
      <c r="G24" s="4">
        <f>'REMIND SSP2-NPi'!G24/O$14*O$13</f>
        <v>0</v>
      </c>
      <c r="H24" s="4">
        <f>'REMIND SSP2-NPi'!H24/P$14*P$13</f>
        <v>0</v>
      </c>
    </row>
    <row r="25" spans="1:8" x14ac:dyDescent="0.35">
      <c r="A25" s="30"/>
      <c r="B25" s="24" t="s">
        <v>15</v>
      </c>
      <c r="C25" s="4">
        <f>'REMIND SSP2-NPi'!C25/K$14*K$13</f>
        <v>2.877701276690825</v>
      </c>
      <c r="D25" s="4">
        <f>'REMIND SSP2-NPi'!D25/L$14*L$13</f>
        <v>3.3602848978517876</v>
      </c>
      <c r="E25" s="4">
        <f>'REMIND SSP2-NPi'!E25/M$14*M$13</f>
        <v>0.33386233957308376</v>
      </c>
      <c r="F25" s="4">
        <f>'REMIND SSP2-NPi'!F25/N$14*N$13</f>
        <v>2.098342301169449E-2</v>
      </c>
      <c r="G25" s="4">
        <f>'REMIND SSP2-NPi'!G25/O$14*O$13</f>
        <v>0.11398483429611946</v>
      </c>
      <c r="H25" s="4">
        <f>'REMIND SSP2-NPi'!H25/P$14*P$13</f>
        <v>2.3327390384813299E-2</v>
      </c>
    </row>
    <row r="26" spans="1:8" x14ac:dyDescent="0.35">
      <c r="A26" s="30" t="s">
        <v>28</v>
      </c>
      <c r="B26" s="24" t="s">
        <v>16</v>
      </c>
      <c r="C26" s="4">
        <f>'REMIND SSP2-NPi'!C26/K$14*K$13</f>
        <v>1.0332829962259993</v>
      </c>
      <c r="D26" s="4">
        <f>'REMIND SSP2-NPi'!D26/L$14*L$13</f>
        <v>0.5200997440466768</v>
      </c>
      <c r="E26" s="4">
        <f>'REMIND SSP2-NPi'!E26/M$14*M$13</f>
        <v>0</v>
      </c>
      <c r="F26" s="4">
        <f>'REMIND SSP2-NPi'!F26/N$14*N$13</f>
        <v>0</v>
      </c>
      <c r="G26" s="4">
        <f>'REMIND SSP2-NPi'!G26/O$14*O$13</f>
        <v>0</v>
      </c>
      <c r="H26" s="4">
        <f>'REMIND SSP2-NPi'!H26/P$14*P$13</f>
        <v>0</v>
      </c>
    </row>
    <row r="27" spans="1:8" x14ac:dyDescent="0.35">
      <c r="A27" s="30"/>
      <c r="B27" s="24" t="s">
        <v>9</v>
      </c>
      <c r="C27" s="4">
        <f>'REMIND SSP2-NPi'!C27/K$14*K$13</f>
        <v>0.55440039148154774</v>
      </c>
      <c r="D27" s="4">
        <f>'REMIND SSP2-NPi'!D27/L$14*L$13</f>
        <v>0.27905569215992815</v>
      </c>
      <c r="E27" s="4">
        <f>'REMIND SSP2-NPi'!E27/M$14*M$13</f>
        <v>0</v>
      </c>
      <c r="F27" s="4">
        <f>'REMIND SSP2-NPi'!F27/N$14*N$13</f>
        <v>0</v>
      </c>
      <c r="G27" s="4">
        <f>'REMIND SSP2-NPi'!G27/O$14*O$13</f>
        <v>0</v>
      </c>
      <c r="H27" s="4">
        <f>'REMIND SSP2-NPi'!H27/P$14*P$13</f>
        <v>0</v>
      </c>
    </row>
    <row r="28" spans="1:8" x14ac:dyDescent="0.35">
      <c r="A28" s="30"/>
      <c r="B28" s="24" t="s">
        <v>10</v>
      </c>
      <c r="C28" s="4">
        <f>'REMIND SSP2-NPi'!C28/K$14*K$13</f>
        <v>1.8443881175051511</v>
      </c>
      <c r="D28" s="4">
        <f>'REMIND SSP2-NPi'!D28/L$14*L$13</f>
        <v>1.2154524689936712</v>
      </c>
      <c r="E28" s="4">
        <f>'REMIND SSP2-NPi'!E28/M$14*M$13</f>
        <v>0.41684785096460275</v>
      </c>
      <c r="F28" s="4">
        <f>'REMIND SSP2-NPi'!F28/N$14*N$13</f>
        <v>8.2522632409170824E-3</v>
      </c>
      <c r="G28" s="4">
        <f>'REMIND SSP2-NPi'!G28/O$14*O$13</f>
        <v>0.22130803421807557</v>
      </c>
      <c r="H28" s="4">
        <f>'REMIND SSP2-NPi'!H28/P$14*P$13</f>
        <v>9.3703907810490442E-3</v>
      </c>
    </row>
    <row r="29" spans="1:8" x14ac:dyDescent="0.35">
      <c r="A29" s="30"/>
      <c r="B29" s="24" t="s">
        <v>11</v>
      </c>
      <c r="C29" s="4">
        <f>'REMIND SSP2-NPi'!C29/K$14*K$13</f>
        <v>0.43860939844141211</v>
      </c>
      <c r="D29" s="4">
        <f>'REMIND SSP2-NPi'!D29/L$14*L$13</f>
        <v>0.67992063664158664</v>
      </c>
      <c r="E29" s="4">
        <f>'REMIND SSP2-NPi'!E29/M$14*M$13</f>
        <v>2.9746864509786374E-2</v>
      </c>
      <c r="F29" s="4">
        <f>'REMIND SSP2-NPi'!F29/N$14*N$13</f>
        <v>2.9317683433250441E-3</v>
      </c>
      <c r="G29" s="4">
        <f>'REMIND SSP2-NPi'!G29/O$14*O$13</f>
        <v>1.124717640268468E-2</v>
      </c>
      <c r="H29" s="4">
        <f>'REMIND SSP2-NPi'!H29/P$14*P$13</f>
        <v>4.1851063382689537E-3</v>
      </c>
    </row>
    <row r="30" spans="1:8" x14ac:dyDescent="0.35">
      <c r="A30" s="30"/>
      <c r="B30" s="24" t="s">
        <v>12</v>
      </c>
      <c r="C30" s="4">
        <f>'REMIND SSP2-NPi'!C30/K$14*K$13</f>
        <v>-0.3536331783314971</v>
      </c>
      <c r="D30" s="4">
        <f>'REMIND SSP2-NPi'!D30/L$14*L$13</f>
        <v>0.75885292956731842</v>
      </c>
      <c r="E30" s="4">
        <f>'REMIND SSP2-NPi'!E30/M$14*M$13</f>
        <v>2.3362775451532633E-2</v>
      </c>
      <c r="F30" s="4">
        <f>'REMIND SSP2-NPi'!F30/N$14*N$13</f>
        <v>4.7907586866122931E-3</v>
      </c>
      <c r="G30" s="4">
        <f>'REMIND SSP2-NPi'!G30/O$14*O$13</f>
        <v>5.2830481031266516E-3</v>
      </c>
      <c r="H30" s="4">
        <f>'REMIND SSP2-NPi'!H30/P$14*P$13</f>
        <v>4.0516123174613059E-3</v>
      </c>
    </row>
    <row r="31" spans="1:8" x14ac:dyDescent="0.35">
      <c r="A31" s="30"/>
      <c r="B31" s="24" t="s">
        <v>13</v>
      </c>
      <c r="C31" s="4">
        <f>'REMIND SSP2-NPi'!C31/K$14*K$13</f>
        <v>2.0875359485759661E-2</v>
      </c>
      <c r="D31" s="4">
        <f>'REMIND SSP2-NPi'!D31/L$14*L$13</f>
        <v>1.590487513598508E-2</v>
      </c>
      <c r="E31" s="4">
        <f>'REMIND SSP2-NPi'!E31/M$14*M$13</f>
        <v>8.7131863686965169E-2</v>
      </c>
      <c r="F31" s="4">
        <f>'REMIND SSP2-NPi'!F31/N$14*N$13</f>
        <v>5.9259993610775693E-3</v>
      </c>
      <c r="G31" s="4">
        <f>'REMIND SSP2-NPi'!G31/O$14*O$13</f>
        <v>1.0868345497423824E-2</v>
      </c>
      <c r="H31" s="4">
        <f>'REMIND SSP2-NPi'!H31/P$14*P$13</f>
        <v>5.0618301202759409E-3</v>
      </c>
    </row>
    <row r="32" spans="1:8" x14ac:dyDescent="0.35">
      <c r="A32" s="30"/>
      <c r="B32" s="24" t="s">
        <v>14</v>
      </c>
      <c r="C32" s="4">
        <f>'REMIND SSP2-NPi'!C32/K$14*K$13</f>
        <v>1.0409056917565383E-2</v>
      </c>
      <c r="D32" s="4">
        <f>'REMIND SSP2-NPi'!D32/L$14*L$13</f>
        <v>1.7949768736472207E-2</v>
      </c>
      <c r="E32" s="4">
        <f>'REMIND SSP2-NPi'!E32/M$14*M$13</f>
        <v>5.007999968176241E-2</v>
      </c>
      <c r="F32" s="4">
        <f>'REMIND SSP2-NPi'!F32/N$14*N$13</f>
        <v>1.0328894270912931E-2</v>
      </c>
      <c r="G32" s="4">
        <f>'REMIND SSP2-NPi'!G32/O$14*O$13</f>
        <v>6.1114417093415139E-3</v>
      </c>
      <c r="H32" s="4">
        <f>'REMIND SSP2-NPi'!H32/P$14*P$13</f>
        <v>3.0109651240584789E-4</v>
      </c>
    </row>
    <row r="33" spans="1:8" x14ac:dyDescent="0.35">
      <c r="A33" s="30"/>
      <c r="B33" s="24" t="s">
        <v>15</v>
      </c>
      <c r="C33" s="4">
        <f>'REMIND SSP2-NPi'!C33/K$14*K$13</f>
        <v>3.475330038007852</v>
      </c>
      <c r="D33" s="4">
        <f>'REMIND SSP2-NPi'!D33/L$14*L$13</f>
        <v>3.450490736138343</v>
      </c>
      <c r="E33" s="4">
        <f>'REMIND SSP2-NPi'!E33/M$14*M$13</f>
        <v>0.60716935429464935</v>
      </c>
      <c r="F33" s="4">
        <f>'REMIND SSP2-NPi'!F33/N$14*N$13</f>
        <v>3.2229683902844919E-2</v>
      </c>
      <c r="G33" s="4">
        <f>'REMIND SSP2-NPi'!G33/O$14*O$13</f>
        <v>0.25481804593065227</v>
      </c>
      <c r="H33" s="4">
        <f>'REMIND SSP2-NPi'!H33/P$14*P$13</f>
        <v>2.2970036069461089E-2</v>
      </c>
    </row>
    <row r="34" spans="1:8" x14ac:dyDescent="0.35">
      <c r="A34" s="30" t="s">
        <v>27</v>
      </c>
      <c r="B34" s="24" t="s">
        <v>16</v>
      </c>
      <c r="C34" s="4">
        <f>'REMIND SSP2-NPi'!C34/K$14*K$13</f>
        <v>1.0332829962259993</v>
      </c>
      <c r="D34" s="4">
        <f>'REMIND SSP2-NPi'!D34/L$14*L$13</f>
        <v>0.5200997440466768</v>
      </c>
      <c r="E34" s="4">
        <f>'REMIND SSP2-NPi'!E34/M$14*M$13</f>
        <v>0</v>
      </c>
      <c r="F34" s="4">
        <f>'REMIND SSP2-NPi'!F34/N$14*N$13</f>
        <v>0</v>
      </c>
      <c r="G34" s="4">
        <f>'REMIND SSP2-NPi'!G34/O$14*O$13</f>
        <v>0</v>
      </c>
      <c r="H34" s="4">
        <f>'REMIND SSP2-NPi'!H34/P$14*P$13</f>
        <v>0</v>
      </c>
    </row>
    <row r="35" spans="1:8" x14ac:dyDescent="0.35">
      <c r="A35" s="30"/>
      <c r="B35" s="24" t="s">
        <v>9</v>
      </c>
      <c r="C35" s="4">
        <f>'REMIND SSP2-NPi'!C35/K$14*K$13</f>
        <v>1.0782990056970574</v>
      </c>
      <c r="D35" s="4">
        <f>'REMIND SSP2-NPi'!D35/L$14*L$13</f>
        <v>0.5485961173137297</v>
      </c>
      <c r="E35" s="4">
        <f>'REMIND SSP2-NPi'!E35/M$14*M$13</f>
        <v>1.0190342338458089E-2</v>
      </c>
      <c r="F35" s="4">
        <f>'REMIND SSP2-NPi'!F35/N$14*N$13</f>
        <v>5.7574084305745223E-4</v>
      </c>
      <c r="G35" s="4">
        <f>'REMIND SSP2-NPi'!G35/O$14*O$13</f>
        <v>2.669674941453861E-3</v>
      </c>
      <c r="H35" s="4">
        <f>'REMIND SSP2-NPi'!H35/P$14*P$13</f>
        <v>3.1457737471790172E-3</v>
      </c>
    </row>
    <row r="36" spans="1:8" x14ac:dyDescent="0.35">
      <c r="A36" s="30"/>
      <c r="B36" s="24" t="s">
        <v>10</v>
      </c>
      <c r="C36" s="4">
        <f>'REMIND SSP2-NPi'!C36/K$14*K$13</f>
        <v>0.75851708399705675</v>
      </c>
      <c r="D36" s="4">
        <f>'REMIND SSP2-NPi'!D36/L$14*L$13</f>
        <v>0.5639418973753233</v>
      </c>
      <c r="E36" s="4">
        <f>'REMIND SSP2-NPi'!E36/M$14*M$13</f>
        <v>0.26447391860273134</v>
      </c>
      <c r="F36" s="4">
        <f>'REMIND SSP2-NPi'!F36/N$14*N$13</f>
        <v>5.2357434292061335E-3</v>
      </c>
      <c r="G36" s="4">
        <f>'REMIND SSP2-NPi'!G36/O$14*O$13</f>
        <v>0.14041143043554274</v>
      </c>
      <c r="H36" s="4">
        <f>'REMIND SSP2-NPi'!H36/P$14*P$13</f>
        <v>5.9451523210884696E-3</v>
      </c>
    </row>
    <row r="37" spans="1:8" x14ac:dyDescent="0.35">
      <c r="A37" s="30"/>
      <c r="B37" s="24" t="s">
        <v>11</v>
      </c>
      <c r="C37" s="4">
        <f>'REMIND SSP2-NPi'!C37/K$14*K$13</f>
        <v>0.24608772742807469</v>
      </c>
      <c r="D37" s="4">
        <f>'REMIND SSP2-NPi'!D37/L$14*L$13</f>
        <v>0.51583934563942602</v>
      </c>
      <c r="E37" s="4">
        <f>'REMIND SSP2-NPi'!E37/M$14*M$13</f>
        <v>2.5394719103171943E-2</v>
      </c>
      <c r="F37" s="4">
        <f>'REMIND SSP2-NPi'!F37/N$14*N$13</f>
        <v>2.5028329802563765E-3</v>
      </c>
      <c r="G37" s="4">
        <f>'REMIND SSP2-NPi'!G37/O$14*O$13</f>
        <v>9.6016467670411425E-3</v>
      </c>
      <c r="H37" s="4">
        <f>'REMIND SSP2-NPi'!H37/P$14*P$13</f>
        <v>3.5728000792244786E-3</v>
      </c>
    </row>
    <row r="38" spans="1:8" x14ac:dyDescent="0.35">
      <c r="A38" s="30"/>
      <c r="B38" s="24" t="s">
        <v>12</v>
      </c>
      <c r="C38" s="4">
        <f>'REMIND SSP2-NPi'!C38/K$14*K$13</f>
        <v>-0.19909696400484481</v>
      </c>
      <c r="D38" s="4">
        <f>'REMIND SSP2-NPi'!D38/L$14*L$13</f>
        <v>0.69957100000697869</v>
      </c>
      <c r="E38" s="4">
        <f>'REMIND SSP2-NPi'!E38/M$14*M$13</f>
        <v>1.9944660717668802E-2</v>
      </c>
      <c r="F38" s="4">
        <f>'REMIND SSP2-NPi'!F38/N$14*N$13</f>
        <v>4.0898418419048977E-3</v>
      </c>
      <c r="G38" s="4">
        <f>'REMIND SSP2-NPi'!G38/O$14*O$13</f>
        <v>4.510106352328634E-3</v>
      </c>
      <c r="H38" s="4">
        <f>'REMIND SSP2-NPi'!H38/P$14*P$13</f>
        <v>3.4588370375315328E-3</v>
      </c>
    </row>
    <row r="39" spans="1:8" x14ac:dyDescent="0.35">
      <c r="A39" s="30"/>
      <c r="B39" s="24" t="s">
        <v>13</v>
      </c>
      <c r="C39" s="4">
        <f>'REMIND SSP2-NPi'!C39/K$14*K$13</f>
        <v>1.1668584375533047E-2</v>
      </c>
      <c r="D39" s="4">
        <f>'REMIND SSP2-NPi'!D39/L$14*L$13</f>
        <v>1.0481012179554569E-2</v>
      </c>
      <c r="E39" s="4">
        <f>'REMIND SSP2-NPi'!E39/M$14*M$13</f>
        <v>7.4383947341354215E-2</v>
      </c>
      <c r="F39" s="4">
        <f>'REMIND SSP2-NPi'!F39/N$14*N$13</f>
        <v>5.0589899695355177E-3</v>
      </c>
      <c r="G39" s="4">
        <f>'REMIND SSP2-NPi'!G39/O$14*O$13</f>
        <v>9.2782411044532546E-3</v>
      </c>
      <c r="H39" s="4">
        <f>'REMIND SSP2-NPi'!H39/P$14*P$13</f>
        <v>4.3212538924932136E-3</v>
      </c>
    </row>
    <row r="40" spans="1:8" x14ac:dyDescent="0.35">
      <c r="A40" s="30"/>
      <c r="B40" s="24" t="s">
        <v>14</v>
      </c>
      <c r="C40" s="4">
        <f>'REMIND SSP2-NPi'!C40/K$14*K$13</f>
        <v>0</v>
      </c>
      <c r="D40" s="4">
        <f>'REMIND SSP2-NPi'!D40/L$14*L$13</f>
        <v>0</v>
      </c>
      <c r="E40" s="4">
        <f>'REMIND SSP2-NPi'!E40/M$14*M$13</f>
        <v>0</v>
      </c>
      <c r="F40" s="4">
        <f>'REMIND SSP2-NPi'!F40/N$14*N$13</f>
        <v>0</v>
      </c>
      <c r="G40" s="4">
        <f>'REMIND SSP2-NPi'!G40/O$14*O$13</f>
        <v>0</v>
      </c>
      <c r="H40" s="4">
        <f>'REMIND SSP2-NPi'!H40/P$14*P$13</f>
        <v>0</v>
      </c>
    </row>
    <row r="41" spans="1:8" x14ac:dyDescent="0.35">
      <c r="A41" s="30"/>
      <c r="B41" s="24" t="s">
        <v>15</v>
      </c>
      <c r="C41" s="4">
        <f>'REMIND SSP2-NPi'!C41/K$14*K$13</f>
        <v>2.8557563300007911</v>
      </c>
      <c r="D41" s="4">
        <f>'REMIND SSP2-NPi'!D41/L$14*L$13</f>
        <v>2.8217837374183938</v>
      </c>
      <c r="E41" s="4">
        <f>'REMIND SSP2-NPi'!E41/M$14*M$13</f>
        <v>0.39438758810338442</v>
      </c>
      <c r="F41" s="4">
        <f>'REMIND SSP2-NPi'!F41/N$14*N$13</f>
        <v>1.7463149063960372E-2</v>
      </c>
      <c r="G41" s="4">
        <f>'REMIND SSP2-NPi'!G41/O$14*O$13</f>
        <v>0.1664710996008196</v>
      </c>
      <c r="H41" s="4">
        <f>'REMIND SSP2-NPi'!H41/P$14*P$13</f>
        <v>2.0443817077516704E-2</v>
      </c>
    </row>
    <row r="42" spans="1:8" x14ac:dyDescent="0.35">
      <c r="A42" s="30" t="s">
        <v>23</v>
      </c>
      <c r="B42" s="24" t="s">
        <v>16</v>
      </c>
      <c r="C42" s="4">
        <f>'REMIND SSP2-NPi'!C42/K$14*K$13</f>
        <v>1.0332829962259993</v>
      </c>
      <c r="D42" s="4">
        <f>'REMIND SSP2-NPi'!D42/L$14*L$13</f>
        <v>0.5200997440466768</v>
      </c>
      <c r="E42" s="4">
        <f>'REMIND SSP2-NPi'!E42/M$14*M$13</f>
        <v>0</v>
      </c>
      <c r="F42" s="4">
        <f>'REMIND SSP2-NPi'!F42/N$14*N$13</f>
        <v>0</v>
      </c>
      <c r="G42" s="4">
        <f>'REMIND SSP2-NPi'!G42/O$14*O$13</f>
        <v>0</v>
      </c>
      <c r="H42" s="4">
        <f>'REMIND SSP2-NPi'!H42/P$14*P$13</f>
        <v>0</v>
      </c>
    </row>
    <row r="43" spans="1:8" x14ac:dyDescent="0.35">
      <c r="A43" s="30"/>
      <c r="B43" s="24" t="s">
        <v>9</v>
      </c>
      <c r="C43" s="4">
        <f>'REMIND SSP2-NPi'!C43/K$14*K$13</f>
        <v>0.63343469601701363</v>
      </c>
      <c r="D43" s="4">
        <f>'REMIND SSP2-NPi'!D43/L$14*L$13</f>
        <v>0.31902296636435251</v>
      </c>
      <c r="E43" s="4">
        <f>'REMIND SSP2-NPi'!E43/M$14*M$13</f>
        <v>3.2399475044547684E-4</v>
      </c>
      <c r="F43" s="4">
        <f>'REMIND SSP2-NPi'!F43/N$14*N$13</f>
        <v>1.8305274206900962E-5</v>
      </c>
      <c r="G43" s="4">
        <f>'REMIND SSP2-NPi'!G43/O$14*O$13</f>
        <v>8.4880432638906282E-5</v>
      </c>
      <c r="H43" s="4">
        <f>'REMIND SSP2-NPi'!H43/P$14*P$13</f>
        <v>1.0001765851660446E-4</v>
      </c>
    </row>
    <row r="44" spans="1:8" x14ac:dyDescent="0.35">
      <c r="A44" s="30"/>
      <c r="B44" s="24" t="s">
        <v>10</v>
      </c>
      <c r="C44" s="4">
        <f>'REMIND SSP2-NPi'!C44/K$14*K$13</f>
        <v>0</v>
      </c>
      <c r="D44" s="4">
        <f>'REMIND SSP2-NPi'!D44/L$14*L$13</f>
        <v>0</v>
      </c>
      <c r="E44" s="4">
        <f>'REMIND SSP2-NPi'!E44/M$14*M$13</f>
        <v>0</v>
      </c>
      <c r="F44" s="4">
        <f>'REMIND SSP2-NPi'!F44/N$14*N$13</f>
        <v>0</v>
      </c>
      <c r="G44" s="4">
        <f>'REMIND SSP2-NPi'!G44/O$14*O$13</f>
        <v>0</v>
      </c>
      <c r="H44" s="4">
        <f>'REMIND SSP2-NPi'!H44/P$14*P$13</f>
        <v>0</v>
      </c>
    </row>
    <row r="45" spans="1:8" x14ac:dyDescent="0.35">
      <c r="A45" s="30"/>
      <c r="B45" s="24" t="s">
        <v>11</v>
      </c>
      <c r="C45" s="4">
        <f>'REMIND SSP2-NPi'!C45/K$14*K$13</f>
        <v>0.74023667232833545</v>
      </c>
      <c r="D45" s="4">
        <f>'REMIND SSP2-NPi'!D45/L$14*L$13</f>
        <v>1.4818332902436291</v>
      </c>
      <c r="E45" s="4">
        <f>'REMIND SSP2-NPi'!E45/M$14*M$13</f>
        <v>7.1864276988572076E-2</v>
      </c>
      <c r="F45" s="4">
        <f>'REMIND SSP2-NPi'!F45/N$14*N$13</f>
        <v>7.0827435349269732E-3</v>
      </c>
      <c r="G45" s="4">
        <f>'REMIND SSP2-NPi'!G45/O$14*O$13</f>
        <v>2.7171609971731708E-2</v>
      </c>
      <c r="H45" s="4">
        <f>'REMIND SSP2-NPi'!H45/P$14*P$13</f>
        <v>1.0110633375192952E-2</v>
      </c>
    </row>
    <row r="46" spans="1:8" x14ac:dyDescent="0.35">
      <c r="A46" s="30"/>
      <c r="B46" s="24" t="s">
        <v>12</v>
      </c>
      <c r="C46" s="4">
        <f>'REMIND SSP2-NPi'!C46/K$14*K$13</f>
        <v>-0.60511382594122942</v>
      </c>
      <c r="D46" s="4">
        <f>'REMIND SSP2-NPi'!D46/L$14*L$13</f>
        <v>1.9587242665733962</v>
      </c>
      <c r="E46" s="4">
        <f>'REMIND SSP2-NPi'!E46/M$14*M$13</f>
        <v>5.6441207970621549E-2</v>
      </c>
      <c r="F46" s="4">
        <f>'REMIND SSP2-NPi'!F46/N$14*N$13</f>
        <v>1.1573805001426221E-2</v>
      </c>
      <c r="G46" s="4">
        <f>'REMIND SSP2-NPi'!G46/O$14*O$13</f>
        <v>1.27631075907896E-2</v>
      </c>
      <c r="H46" s="4">
        <f>'REMIND SSP2-NPi'!H46/P$14*P$13</f>
        <v>9.7881304342701224E-3</v>
      </c>
    </row>
    <row r="47" spans="1:8" x14ac:dyDescent="0.35">
      <c r="A47" s="30"/>
      <c r="B47" s="24" t="s">
        <v>13</v>
      </c>
      <c r="C47" s="4">
        <f>'REMIND SSP2-NPi'!C47/K$14*K$13</f>
        <v>3.4956225813326434E-2</v>
      </c>
      <c r="D47" s="4">
        <f>'REMIND SSP2-NPi'!D47/L$14*L$13</f>
        <v>3.0634299679321905E-2</v>
      </c>
      <c r="E47" s="4">
        <f>'REMIND SSP2-NPi'!E47/M$14*M$13</f>
        <v>0.21049843369107207</v>
      </c>
      <c r="F47" s="4">
        <f>'REMIND SSP2-NPi'!F47/N$14*N$13</f>
        <v>1.4316388181970381E-2</v>
      </c>
      <c r="G47" s="4">
        <f>'REMIND SSP2-NPi'!G47/O$14*O$13</f>
        <v>2.6256407325801038E-2</v>
      </c>
      <c r="H47" s="4">
        <f>'REMIND SSP2-NPi'!H47/P$14*P$13</f>
        <v>1.2228675789104868E-2</v>
      </c>
    </row>
    <row r="48" spans="1:8" x14ac:dyDescent="0.35">
      <c r="A48" s="30"/>
      <c r="B48" s="24" t="s">
        <v>14</v>
      </c>
      <c r="C48" s="4">
        <f>'REMIND SSP2-NPi'!C48/K$14*K$13</f>
        <v>0</v>
      </c>
      <c r="D48" s="4">
        <f>'REMIND SSP2-NPi'!D48/L$14*L$13</f>
        <v>0</v>
      </c>
      <c r="E48" s="4">
        <f>'REMIND SSP2-NPi'!E48/M$14*M$13</f>
        <v>0</v>
      </c>
      <c r="F48" s="4">
        <f>'REMIND SSP2-NPi'!F48/N$14*N$13</f>
        <v>0</v>
      </c>
      <c r="G48" s="4">
        <f>'REMIND SSP2-NPi'!G48/O$14*O$13</f>
        <v>0</v>
      </c>
      <c r="H48" s="4">
        <f>'REMIND SSP2-NPi'!H48/P$14*P$13</f>
        <v>0</v>
      </c>
    </row>
    <row r="49" spans="1:8" x14ac:dyDescent="0.35">
      <c r="A49" s="30"/>
      <c r="B49" s="24" t="s">
        <v>15</v>
      </c>
      <c r="C49" s="4">
        <f>'REMIND SSP2-NPi'!C49/K$14*K$13</f>
        <v>1.7637946607253596</v>
      </c>
      <c r="D49" s="4">
        <f>'REMIND SSP2-NPi'!D49/L$14*L$13</f>
        <v>4.2735691877640791</v>
      </c>
      <c r="E49" s="4">
        <f>'REMIND SSP2-NPi'!E49/M$14*M$13</f>
        <v>0.33912791340071119</v>
      </c>
      <c r="F49" s="4">
        <f>'REMIND SSP2-NPi'!F49/N$14*N$13</f>
        <v>3.2991241992530479E-2</v>
      </c>
      <c r="G49" s="4">
        <f>'REMIND SSP2-NPi'!G49/O$14*O$13</f>
        <v>6.6276005320961243E-2</v>
      </c>
      <c r="H49" s="4">
        <f>'REMIND SSP2-NPi'!H49/P$14*P$13</f>
        <v>3.2227457257084556E-2</v>
      </c>
    </row>
    <row r="50" spans="1:8" x14ac:dyDescent="0.35">
      <c r="A50" s="30" t="s">
        <v>24</v>
      </c>
      <c r="B50" s="24" t="s">
        <v>16</v>
      </c>
      <c r="C50" s="4">
        <f>'REMIND SSP2-NPi'!C50/K$14*K$13</f>
        <v>1.0332829962259993</v>
      </c>
      <c r="D50" s="4">
        <f>'REMIND SSP2-NPi'!D50/L$14*L$13</f>
        <v>0.5200997440466768</v>
      </c>
      <c r="E50" s="4">
        <f>'REMIND SSP2-NPi'!E50/M$14*M$13</f>
        <v>0</v>
      </c>
      <c r="F50" s="4">
        <f>'REMIND SSP2-NPi'!F50/N$14*N$13</f>
        <v>0</v>
      </c>
      <c r="G50" s="4">
        <f>'REMIND SSP2-NPi'!G50/O$14*O$13</f>
        <v>0</v>
      </c>
      <c r="H50" s="4">
        <f>'REMIND SSP2-NPi'!H50/P$14*P$13</f>
        <v>0</v>
      </c>
    </row>
    <row r="51" spans="1:8" x14ac:dyDescent="0.35">
      <c r="A51" s="30"/>
      <c r="B51" s="24" t="s">
        <v>9</v>
      </c>
      <c r="C51" s="4">
        <f>'REMIND SSP2-NPi'!C51/K$14*K$13</f>
        <v>0.63343469601701363</v>
      </c>
      <c r="D51" s="4">
        <f>'REMIND SSP2-NPi'!D51/L$14*L$13</f>
        <v>0.31902296636435251</v>
      </c>
      <c r="E51" s="4">
        <f>'REMIND SSP2-NPi'!E51/M$14*M$13</f>
        <v>3.2399475044547684E-4</v>
      </c>
      <c r="F51" s="4">
        <f>'REMIND SSP2-NPi'!F51/N$14*N$13</f>
        <v>1.8305274206900962E-5</v>
      </c>
      <c r="G51" s="4">
        <f>'REMIND SSP2-NPi'!G51/O$14*O$13</f>
        <v>8.4880432638906282E-5</v>
      </c>
      <c r="H51" s="4">
        <f>'REMIND SSP2-NPi'!H51/P$14*P$13</f>
        <v>1.0001765851660446E-4</v>
      </c>
    </row>
    <row r="52" spans="1:8" x14ac:dyDescent="0.35">
      <c r="A52" s="30"/>
      <c r="B52" s="24" t="s">
        <v>10</v>
      </c>
      <c r="C52" s="4">
        <f>'REMIND SSP2-NPi'!C52/K$14*K$13</f>
        <v>0</v>
      </c>
      <c r="D52" s="4">
        <f>'REMIND SSP2-NPi'!D52/L$14*L$13</f>
        <v>0</v>
      </c>
      <c r="E52" s="4">
        <f>'REMIND SSP2-NPi'!E52/M$14*M$13</f>
        <v>0</v>
      </c>
      <c r="F52" s="4">
        <f>'REMIND SSP2-NPi'!F52/N$14*N$13</f>
        <v>0</v>
      </c>
      <c r="G52" s="4">
        <f>'REMIND SSP2-NPi'!G52/O$14*O$13</f>
        <v>0</v>
      </c>
      <c r="H52" s="4">
        <f>'REMIND SSP2-NPi'!H52/P$14*P$13</f>
        <v>0</v>
      </c>
    </row>
    <row r="53" spans="1:8" x14ac:dyDescent="0.35">
      <c r="A53" s="30"/>
      <c r="B53" s="24" t="s">
        <v>11</v>
      </c>
      <c r="C53" s="4">
        <f>'REMIND SSP2-NPi'!C53/K$14*K$13</f>
        <v>0.26160328252989995</v>
      </c>
      <c r="D53" s="4">
        <f>'REMIND SSP2-NPi'!D53/L$14*L$13</f>
        <v>0.52317277396705775</v>
      </c>
      <c r="E53" s="4">
        <f>'REMIND SSP2-NPi'!E53/M$14*M$13</f>
        <v>2.5363862466554865E-2</v>
      </c>
      <c r="F53" s="4">
        <f>'REMIND SSP2-NPi'!F53/N$14*N$13</f>
        <v>2.4997918358565796E-3</v>
      </c>
      <c r="G53" s="4">
        <f>'REMIND SSP2-NPi'!G53/O$14*O$13</f>
        <v>9.5899799900229527E-3</v>
      </c>
      <c r="H53" s="4">
        <f>'REMIND SSP2-NPi'!H53/P$14*P$13</f>
        <v>3.5684588383033951E-3</v>
      </c>
    </row>
    <row r="54" spans="1:8" x14ac:dyDescent="0.35">
      <c r="A54" s="30"/>
      <c r="B54" s="24" t="s">
        <v>12</v>
      </c>
      <c r="C54" s="4">
        <f>'REMIND SSP2-NPi'!C54/K$14*K$13</f>
        <v>-0.21285787364705405</v>
      </c>
      <c r="D54" s="4">
        <f>'REMIND SSP2-NPi'!D54/L$14*L$13</f>
        <v>0.69167268501065926</v>
      </c>
      <c r="E54" s="4">
        <f>'REMIND SSP2-NPi'!E54/M$14*M$13</f>
        <v>1.9920426342572312E-2</v>
      </c>
      <c r="F54" s="4">
        <f>'REMIND SSP2-NPi'!F54/N$14*N$13</f>
        <v>4.0848723534445486E-3</v>
      </c>
      <c r="G54" s="4">
        <f>'REMIND SSP2-NPi'!G54/O$14*O$13</f>
        <v>4.5046262085139755E-3</v>
      </c>
      <c r="H54" s="4">
        <f>'REMIND SSP2-NPi'!H54/P$14*P$13</f>
        <v>3.4546342709188683E-3</v>
      </c>
    </row>
    <row r="55" spans="1:8" x14ac:dyDescent="0.35">
      <c r="A55" s="30"/>
      <c r="B55" s="24" t="s">
        <v>13</v>
      </c>
      <c r="C55" s="4">
        <f>'REMIND SSP2-NPi'!C55/K$14*K$13</f>
        <v>0.16158581473219005</v>
      </c>
      <c r="D55" s="4">
        <f>'REMIND SSP2-NPi'!D55/L$14*L$13</f>
        <v>0.14218328064475427</v>
      </c>
      <c r="E55" s="4">
        <f>'REMIND SSP2-NPi'!E55/M$14*M$13</f>
        <v>0.98232602389166968</v>
      </c>
      <c r="F55" s="4">
        <f>'REMIND SSP2-NPi'!F55/N$14*N$13</f>
        <v>6.6809811515861767E-2</v>
      </c>
      <c r="G55" s="4">
        <f>'REMIND SSP2-NPi'!G55/O$14*O$13</f>
        <v>0.1225299008537382</v>
      </c>
      <c r="H55" s="4">
        <f>'REMIND SSP2-NPi'!H55/P$14*P$13</f>
        <v>5.706715368248938E-2</v>
      </c>
    </row>
    <row r="56" spans="1:8" x14ac:dyDescent="0.35">
      <c r="A56" s="30"/>
      <c r="B56" s="24" t="s">
        <v>14</v>
      </c>
      <c r="C56" s="4">
        <f>'REMIND SSP2-NPi'!C56/K$14*K$13</f>
        <v>0</v>
      </c>
      <c r="D56" s="4">
        <f>'REMIND SSP2-NPi'!D56/L$14*L$13</f>
        <v>0</v>
      </c>
      <c r="E56" s="4">
        <f>'REMIND SSP2-NPi'!E56/M$14*M$13</f>
        <v>0</v>
      </c>
      <c r="F56" s="4">
        <f>'REMIND SSP2-NPi'!F56/N$14*N$13</f>
        <v>0</v>
      </c>
      <c r="G56" s="4">
        <f>'REMIND SSP2-NPi'!G56/O$14*O$13</f>
        <v>0</v>
      </c>
      <c r="H56" s="4">
        <f>'REMIND SSP2-NPi'!H56/P$14*P$13</f>
        <v>0</v>
      </c>
    </row>
    <row r="57" spans="1:8" x14ac:dyDescent="0.35">
      <c r="A57" s="30"/>
      <c r="B57" s="24" t="s">
        <v>15</v>
      </c>
      <c r="C57" s="4">
        <f>'REMIND SSP2-NPi'!C57/K$14*K$13</f>
        <v>1.8040468121399627</v>
      </c>
      <c r="D57" s="4">
        <f>'REMIND SSP2-NPi'!D57/L$14*L$13</f>
        <v>2.159406070890205</v>
      </c>
      <c r="E57" s="4">
        <f>'REMIND SSP2-NPi'!E57/M$14*M$13</f>
        <v>1.0279343074512419</v>
      </c>
      <c r="F57" s="4">
        <f>'REMIND SSP2-NPi'!F57/N$14*N$13</f>
        <v>7.3412780979369804E-2</v>
      </c>
      <c r="G57" s="4">
        <f>'REMIND SSP2-NPi'!G57/O$14*O$13</f>
        <v>0.13670938748491407</v>
      </c>
      <c r="H57" s="4">
        <f>'REMIND SSP2-NPi'!H57/P$14*P$13</f>
        <v>6.4190264450228254E-2</v>
      </c>
    </row>
    <row r="58" spans="1:8" x14ac:dyDescent="0.35">
      <c r="A58" s="30" t="s">
        <v>21</v>
      </c>
      <c r="B58" s="24" t="s">
        <v>16</v>
      </c>
      <c r="C58" s="4">
        <f>'REMIND SSP2-NPi'!C58/K$14*K$13</f>
        <v>1.0332829962259993</v>
      </c>
      <c r="D58" s="4">
        <f>'REMIND SSP2-NPi'!D58/L$14*L$13</f>
        <v>0.5200997440466768</v>
      </c>
      <c r="E58" s="4">
        <f>'REMIND SSP2-NPi'!E58/M$14*M$13</f>
        <v>0</v>
      </c>
      <c r="F58" s="4">
        <f>'REMIND SSP2-NPi'!F58/N$14*N$13</f>
        <v>0</v>
      </c>
      <c r="G58" s="4">
        <f>'REMIND SSP2-NPi'!G58/O$14*O$13</f>
        <v>0</v>
      </c>
      <c r="H58" s="4">
        <f>'REMIND SSP2-NPi'!H58/P$14*P$13</f>
        <v>0</v>
      </c>
    </row>
    <row r="59" spans="1:8" x14ac:dyDescent="0.35">
      <c r="A59" s="30"/>
      <c r="B59" s="24" t="s">
        <v>9</v>
      </c>
      <c r="C59" s="4">
        <f>'REMIND SSP2-NPi'!C59/K$14*K$13</f>
        <v>0.63343469601701363</v>
      </c>
      <c r="D59" s="4">
        <f>'REMIND SSP2-NPi'!D59/L$14*L$13</f>
        <v>0.31902296636435251</v>
      </c>
      <c r="E59" s="4">
        <f>'REMIND SSP2-NPi'!E59/M$14*M$13</f>
        <v>3.2399475044547684E-4</v>
      </c>
      <c r="F59" s="4">
        <f>'REMIND SSP2-NPi'!F59/N$14*N$13</f>
        <v>1.8305274206900962E-5</v>
      </c>
      <c r="G59" s="4">
        <f>'REMIND SSP2-NPi'!G59/O$14*O$13</f>
        <v>8.4880432638906282E-5</v>
      </c>
      <c r="H59" s="4">
        <f>'REMIND SSP2-NPi'!H59/P$14*P$13</f>
        <v>1.0001765851660446E-4</v>
      </c>
    </row>
    <row r="60" spans="1:8" x14ac:dyDescent="0.35">
      <c r="A60" s="30"/>
      <c r="B60" s="24" t="s">
        <v>10</v>
      </c>
      <c r="C60" s="4">
        <f>'REMIND SSP2-NPi'!C60/K$14*K$13</f>
        <v>3.833614242187362</v>
      </c>
      <c r="D60" s="4">
        <f>'REMIND SSP2-NPi'!D60/L$14*L$13</f>
        <v>2.4450872678415614</v>
      </c>
      <c r="E60" s="4">
        <f>'REMIND SSP2-NPi'!E60/M$14*M$13</f>
        <v>0.74843225733281582</v>
      </c>
      <c r="F60" s="4">
        <f>'REMIND SSP2-NPi'!F60/N$14*N$13</f>
        <v>1.4816581136767469E-2</v>
      </c>
      <c r="G60" s="4">
        <f>'REMIND SSP2-NPi'!G60/O$14*O$13</f>
        <v>0.39734898772403021</v>
      </c>
      <c r="H60" s="4">
        <f>'REMIND SSP2-NPi'!H60/P$14*P$13</f>
        <v>1.6824130694502899E-2</v>
      </c>
    </row>
    <row r="61" spans="1:8" x14ac:dyDescent="0.35">
      <c r="A61" s="30"/>
      <c r="B61" s="24" t="s">
        <v>11</v>
      </c>
      <c r="C61" s="4">
        <f>'REMIND SSP2-NPi'!C61/K$14*K$13</f>
        <v>0</v>
      </c>
      <c r="D61" s="4">
        <f>'REMIND SSP2-NPi'!D61/L$14*L$13</f>
        <v>0</v>
      </c>
      <c r="E61" s="4">
        <f>'REMIND SSP2-NPi'!E61/M$14*M$13</f>
        <v>0</v>
      </c>
      <c r="F61" s="4">
        <f>'REMIND SSP2-NPi'!F61/N$14*N$13</f>
        <v>0</v>
      </c>
      <c r="G61" s="4">
        <f>'REMIND SSP2-NPi'!G61/O$14*O$13</f>
        <v>0</v>
      </c>
      <c r="H61" s="4">
        <f>'REMIND SSP2-NPi'!H61/P$14*P$13</f>
        <v>0</v>
      </c>
    </row>
    <row r="62" spans="1:8" x14ac:dyDescent="0.35">
      <c r="A62" s="30"/>
      <c r="B62" s="24" t="s">
        <v>12</v>
      </c>
      <c r="C62" s="4">
        <f>'REMIND SSP2-NPi'!C62/K$14*K$13</f>
        <v>0</v>
      </c>
      <c r="D62" s="4">
        <f>'REMIND SSP2-NPi'!D62/L$14*L$13</f>
        <v>0</v>
      </c>
      <c r="E62" s="4">
        <f>'REMIND SSP2-NPi'!E62/M$14*M$13</f>
        <v>0</v>
      </c>
      <c r="F62" s="4">
        <f>'REMIND SSP2-NPi'!F62/N$14*N$13</f>
        <v>0</v>
      </c>
      <c r="G62" s="4">
        <f>'REMIND SSP2-NPi'!G62/O$14*O$13</f>
        <v>0</v>
      </c>
      <c r="H62" s="4">
        <f>'REMIND SSP2-NPi'!H62/P$14*P$13</f>
        <v>0</v>
      </c>
    </row>
    <row r="63" spans="1:8" x14ac:dyDescent="0.35">
      <c r="A63" s="30"/>
      <c r="B63" s="24" t="s">
        <v>13</v>
      </c>
      <c r="C63" s="4">
        <f>'REMIND SSP2-NPi'!C63/K$14*K$13</f>
        <v>0</v>
      </c>
      <c r="D63" s="4">
        <f>'REMIND SSP2-NPi'!D63/L$14*L$13</f>
        <v>0</v>
      </c>
      <c r="E63" s="4">
        <f>'REMIND SSP2-NPi'!E63/M$14*M$13</f>
        <v>0</v>
      </c>
      <c r="F63" s="4">
        <f>'REMIND SSP2-NPi'!F63/N$14*N$13</f>
        <v>0</v>
      </c>
      <c r="G63" s="4">
        <f>'REMIND SSP2-NPi'!G63/O$14*O$13</f>
        <v>0</v>
      </c>
      <c r="H63" s="4">
        <f>'REMIND SSP2-NPi'!H63/P$14*P$13</f>
        <v>0</v>
      </c>
    </row>
    <row r="64" spans="1:8" x14ac:dyDescent="0.35">
      <c r="A64" s="30"/>
      <c r="B64" s="24" t="s">
        <v>14</v>
      </c>
      <c r="C64" s="4">
        <f>'REMIND SSP2-NPi'!C64/K$14*K$13</f>
        <v>0</v>
      </c>
      <c r="D64" s="4">
        <f>'REMIND SSP2-NPi'!D64/L$14*L$13</f>
        <v>0</v>
      </c>
      <c r="E64" s="4">
        <f>'REMIND SSP2-NPi'!E64/M$14*M$13</f>
        <v>0</v>
      </c>
      <c r="F64" s="4">
        <f>'REMIND SSP2-NPi'!F64/N$14*N$13</f>
        <v>0</v>
      </c>
      <c r="G64" s="4">
        <f>'REMIND SSP2-NPi'!G64/O$14*O$13</f>
        <v>0</v>
      </c>
      <c r="H64" s="4">
        <f>'REMIND SSP2-NPi'!H64/P$14*P$13</f>
        <v>0</v>
      </c>
    </row>
    <row r="65" spans="1:8" x14ac:dyDescent="0.35">
      <c r="A65" s="30"/>
      <c r="B65" s="24" t="s">
        <v>15</v>
      </c>
      <c r="C65" s="4">
        <f>'REMIND SSP2-NPi'!C65/K$14*K$13</f>
        <v>5.4273298307122868</v>
      </c>
      <c r="D65" s="4">
        <f>'REMIND SSP2-NPi'!D65/L$14*L$13</f>
        <v>3.2474645991092945</v>
      </c>
      <c r="E65" s="4">
        <f>'REMIND SSP2-NPi'!E65/M$14*M$13</f>
        <v>0.74875625208326146</v>
      </c>
      <c r="F65" s="4">
        <f>'REMIND SSP2-NPi'!F65/N$14*N$13</f>
        <v>1.4834886410974366E-2</v>
      </c>
      <c r="G65" s="4">
        <f>'REMIND SSP2-NPi'!G65/O$14*O$13</f>
        <v>0.39743386815666909</v>
      </c>
      <c r="H65" s="4">
        <f>'REMIND SSP2-NPi'!H65/P$14*P$13</f>
        <v>1.6924148353019492E-2</v>
      </c>
    </row>
    <row r="66" spans="1:8" x14ac:dyDescent="0.35">
      <c r="A66" s="30" t="s">
        <v>22</v>
      </c>
      <c r="B66" s="24" t="s">
        <v>16</v>
      </c>
      <c r="C66" s="4">
        <f>'REMIND SSP2-NPi'!C66/K$14*K$13</f>
        <v>1.0332829962259993</v>
      </c>
      <c r="D66" s="4">
        <f>'REMIND SSP2-NPi'!D66/L$14*L$13</f>
        <v>0.5200997440466768</v>
      </c>
      <c r="E66" s="4">
        <f>'REMIND SSP2-NPi'!E66/M$14*M$13</f>
        <v>0</v>
      </c>
      <c r="F66" s="4">
        <f>'REMIND SSP2-NPi'!F66/N$14*N$13</f>
        <v>0</v>
      </c>
      <c r="G66" s="4">
        <f>'REMIND SSP2-NPi'!G66/O$14*O$13</f>
        <v>0</v>
      </c>
      <c r="H66" s="4">
        <f>'REMIND SSP2-NPi'!H66/P$14*P$13</f>
        <v>0</v>
      </c>
    </row>
    <row r="67" spans="1:8" x14ac:dyDescent="0.35">
      <c r="A67" s="30"/>
      <c r="B67" s="24" t="s">
        <v>9</v>
      </c>
      <c r="C67" s="4">
        <f>'REMIND SSP2-NPi'!C67/K$14*K$13</f>
        <v>0.63343469601701363</v>
      </c>
      <c r="D67" s="4">
        <f>'REMIND SSP2-NPi'!D67/L$14*L$13</f>
        <v>0.31902296636435251</v>
      </c>
      <c r="E67" s="4">
        <f>'REMIND SSP2-NPi'!E67/M$14*M$13</f>
        <v>3.2399475044547684E-4</v>
      </c>
      <c r="F67" s="4">
        <f>'REMIND SSP2-NPi'!F67/N$14*N$13</f>
        <v>1.8305274206900962E-5</v>
      </c>
      <c r="G67" s="4">
        <f>'REMIND SSP2-NPi'!G67/O$14*O$13</f>
        <v>8.4880432638906282E-5</v>
      </c>
      <c r="H67" s="4">
        <f>'REMIND SSP2-NPi'!H67/P$14*P$13</f>
        <v>1.0001765851660446E-4</v>
      </c>
    </row>
    <row r="68" spans="1:8" x14ac:dyDescent="0.35">
      <c r="A68" s="30"/>
      <c r="B68" s="24" t="s">
        <v>10</v>
      </c>
      <c r="C68" s="4">
        <f>'REMIND SSP2-NPi'!C68/K$14*K$13</f>
        <v>0.17106208507788481</v>
      </c>
      <c r="D68" s="4">
        <f>'REMIND SSP2-NPi'!D68/L$14*L$13</f>
        <v>0.57380997055834171</v>
      </c>
      <c r="E68" s="4">
        <f>'REMIND SSP2-NPi'!E68/M$14*M$13</f>
        <v>0.72375327439389381</v>
      </c>
      <c r="F68" s="4">
        <f>'REMIND SSP2-NPi'!F68/N$14*N$13</f>
        <v>2.3724964222085077E-2</v>
      </c>
      <c r="G68" s="4">
        <f>'REMIND SSP2-NPi'!G68/O$14*O$13</f>
        <v>0.12127700356095389</v>
      </c>
      <c r="H68" s="4">
        <f>'REMIND SSP2-NPi'!H68/P$14*P$13</f>
        <v>1.1873213132857227E-2</v>
      </c>
    </row>
    <row r="69" spans="1:8" x14ac:dyDescent="0.35">
      <c r="A69" s="30"/>
      <c r="B69" s="24" t="s">
        <v>11</v>
      </c>
      <c r="C69" s="4">
        <f>'REMIND SSP2-NPi'!C69/K$14*K$13</f>
        <v>0</v>
      </c>
      <c r="D69" s="4">
        <f>'REMIND SSP2-NPi'!D69/L$14*L$13</f>
        <v>0</v>
      </c>
      <c r="E69" s="4">
        <f>'REMIND SSP2-NPi'!E69/M$14*M$13</f>
        <v>0</v>
      </c>
      <c r="F69" s="4">
        <f>'REMIND SSP2-NPi'!F69/N$14*N$13</f>
        <v>0</v>
      </c>
      <c r="G69" s="4">
        <f>'REMIND SSP2-NPi'!G69/O$14*O$13</f>
        <v>0</v>
      </c>
      <c r="H69" s="4">
        <f>'REMIND SSP2-NPi'!H69/P$14*P$13</f>
        <v>0</v>
      </c>
    </row>
    <row r="70" spans="1:8" x14ac:dyDescent="0.35">
      <c r="A70" s="30"/>
      <c r="B70" s="24" t="s">
        <v>12</v>
      </c>
      <c r="C70" s="4">
        <f>'REMIND SSP2-NPi'!C70/K$14*K$13</f>
        <v>0</v>
      </c>
      <c r="D70" s="4">
        <f>'REMIND SSP2-NPi'!D70/L$14*L$13</f>
        <v>0</v>
      </c>
      <c r="E70" s="4">
        <f>'REMIND SSP2-NPi'!E70/M$14*M$13</f>
        <v>0</v>
      </c>
      <c r="F70" s="4">
        <f>'REMIND SSP2-NPi'!F70/N$14*N$13</f>
        <v>0</v>
      </c>
      <c r="G70" s="4">
        <f>'REMIND SSP2-NPi'!G70/O$14*O$13</f>
        <v>0</v>
      </c>
      <c r="H70" s="4">
        <f>'REMIND SSP2-NPi'!H70/P$14*P$13</f>
        <v>0</v>
      </c>
    </row>
    <row r="71" spans="1:8" x14ac:dyDescent="0.35">
      <c r="A71" s="30"/>
      <c r="B71" s="24" t="s">
        <v>13</v>
      </c>
      <c r="C71" s="4">
        <f>'REMIND SSP2-NPi'!C71/K$14*K$13</f>
        <v>0</v>
      </c>
      <c r="D71" s="4">
        <f>'REMIND SSP2-NPi'!D71/L$14*L$13</f>
        <v>0</v>
      </c>
      <c r="E71" s="4">
        <f>'REMIND SSP2-NPi'!E71/M$14*M$13</f>
        <v>0</v>
      </c>
      <c r="F71" s="4">
        <f>'REMIND SSP2-NPi'!F71/N$14*N$13</f>
        <v>0</v>
      </c>
      <c r="G71" s="4">
        <f>'REMIND SSP2-NPi'!G71/O$14*O$13</f>
        <v>0</v>
      </c>
      <c r="H71" s="4">
        <f>'REMIND SSP2-NPi'!H71/P$14*P$13</f>
        <v>0</v>
      </c>
    </row>
    <row r="72" spans="1:8" x14ac:dyDescent="0.35">
      <c r="A72" s="30"/>
      <c r="B72" s="24" t="s">
        <v>14</v>
      </c>
      <c r="C72" s="4">
        <f>'REMIND SSP2-NPi'!C72/K$14*K$13</f>
        <v>0</v>
      </c>
      <c r="D72" s="4">
        <f>'REMIND SSP2-NPi'!D72/L$14*L$13</f>
        <v>0</v>
      </c>
      <c r="E72" s="4">
        <f>'REMIND SSP2-NPi'!E72/M$14*M$13</f>
        <v>0</v>
      </c>
      <c r="F72" s="4">
        <f>'REMIND SSP2-NPi'!F72/N$14*N$13</f>
        <v>0</v>
      </c>
      <c r="G72" s="4">
        <f>'REMIND SSP2-NPi'!G72/O$14*O$13</f>
        <v>0</v>
      </c>
      <c r="H72" s="4">
        <f>'REMIND SSP2-NPi'!H72/P$14*P$13</f>
        <v>0</v>
      </c>
    </row>
    <row r="73" spans="1:8" x14ac:dyDescent="0.35">
      <c r="A73" s="30"/>
      <c r="B73" s="24" t="s">
        <v>15</v>
      </c>
      <c r="C73" s="4">
        <f>'REMIND SSP2-NPi'!C73/K$14*K$13</f>
        <v>1.7647776736028118</v>
      </c>
      <c r="D73" s="4">
        <f>'REMIND SSP2-NPi'!D73/L$14*L$13</f>
        <v>1.3761873018260753</v>
      </c>
      <c r="E73" s="4">
        <f>'REMIND SSP2-NPi'!E73/M$14*M$13</f>
        <v>0.72407726914433934</v>
      </c>
      <c r="F73" s="4">
        <f>'REMIND SSP2-NPi'!F73/N$14*N$13</f>
        <v>2.3743269496291977E-2</v>
      </c>
      <c r="G73" s="4">
        <f>'REMIND SSP2-NPi'!G73/O$14*O$13</f>
        <v>0.12136188399359277</v>
      </c>
      <c r="H73" s="4">
        <f>'REMIND SSP2-NPi'!H73/P$14*P$13</f>
        <v>1.1973230791373832E-2</v>
      </c>
    </row>
  </sheetData>
  <mergeCells count="10">
    <mergeCell ref="A42:A49"/>
    <mergeCell ref="A50:A57"/>
    <mergeCell ref="A58:A65"/>
    <mergeCell ref="A66:A73"/>
    <mergeCell ref="K1:P1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47BC-87B2-47DA-8954-7B079A17B7AD}">
  <dimension ref="A1:P73"/>
  <sheetViews>
    <sheetView workbookViewId="0">
      <selection activeCell="K36" sqref="K36"/>
    </sheetView>
  </sheetViews>
  <sheetFormatPr baseColWidth="10" defaultRowHeight="14.5" x14ac:dyDescent="0.35"/>
  <sheetData>
    <row r="1" spans="1:16" x14ac:dyDescent="0.35"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K1" s="29" t="s">
        <v>29</v>
      </c>
      <c r="L1" s="29"/>
      <c r="M1" s="29"/>
      <c r="N1" s="29"/>
      <c r="O1" s="29"/>
      <c r="P1" s="29"/>
    </row>
    <row r="2" spans="1:16" x14ac:dyDescent="0.35">
      <c r="A2" s="30" t="s">
        <v>8</v>
      </c>
      <c r="B2" s="24" t="s">
        <v>16</v>
      </c>
      <c r="C2" s="4">
        <f>'IMAGE SSP2-RCP2.6'!C2/K$14*K$13</f>
        <v>1.0332829962259993</v>
      </c>
      <c r="D2" s="4">
        <f>'IMAGE SSP2-RCP2.6'!D2/L$14*L$13</f>
        <v>0.5200997440466768</v>
      </c>
      <c r="E2" s="4">
        <f>'IMAGE SSP2-RCP2.6'!E2/M$14*M$13</f>
        <v>0</v>
      </c>
      <c r="F2" s="4">
        <f>'IMAGE SSP2-RCP2.6'!F2/N$14*N$13</f>
        <v>0</v>
      </c>
      <c r="G2" s="4">
        <f>'IMAGE SSP2-RCP2.6'!G2/O$14*O$13</f>
        <v>0</v>
      </c>
      <c r="H2" s="4">
        <f>'IMAGE SSP2-RCP2.6'!H2/P$14*P$13</f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24" t="s">
        <v>9</v>
      </c>
      <c r="C3" s="4">
        <f>'IMAGE SSP2-RCP2.6'!C3/K$14*K$13</f>
        <v>1.5928143431590329</v>
      </c>
      <c r="D3" s="4">
        <f>'IMAGE SSP2-RCP2.6'!D3/L$14*L$13</f>
        <v>0.82073007429709022</v>
      </c>
      <c r="E3" s="4">
        <f>'IMAGE SSP2-RCP2.6'!E3/M$14*M$13</f>
        <v>2.9748069746197221E-2</v>
      </c>
      <c r="F3" s="4">
        <f>'IMAGE SSP2-RCP2.6'!F3/N$14*N$13</f>
        <v>1.7346450155424408E-3</v>
      </c>
      <c r="G3" s="4">
        <f>'IMAGE SSP2-RCP2.6'!G3/O$14*O$13</f>
        <v>1.440037127122335E-2</v>
      </c>
      <c r="H3" s="4">
        <f>'IMAGE SSP2-RCP2.6'!H3/P$14*P$13</f>
        <v>1.0401359048463519E-2</v>
      </c>
      <c r="J3" s="5" t="s">
        <v>25</v>
      </c>
      <c r="K3" s="7">
        <f>C17/C9</f>
        <v>0.99816622560961266</v>
      </c>
      <c r="L3" s="7">
        <f t="shared" ref="L3:P3" si="0">D17/D9</f>
        <v>1.6049379218320716</v>
      </c>
      <c r="M3" s="7">
        <f t="shared" si="0"/>
        <v>4.8392127423073648</v>
      </c>
      <c r="N3" s="7">
        <f t="shared" si="0"/>
        <v>5.2192769009510123</v>
      </c>
      <c r="O3" s="7">
        <f t="shared" si="0"/>
        <v>15.519343223880151</v>
      </c>
      <c r="P3" s="7">
        <f t="shared" si="0"/>
        <v>1.5097076136672876</v>
      </c>
    </row>
    <row r="4" spans="1:16" x14ac:dyDescent="0.35">
      <c r="A4" s="30"/>
      <c r="B4" s="24" t="s">
        <v>10</v>
      </c>
      <c r="C4" s="4">
        <f>'IMAGE SSP2-RCP2.6'!C4/K$14*K$13</f>
        <v>0</v>
      </c>
      <c r="D4" s="4">
        <f>'IMAGE SSP2-RCP2.6'!D4/L$14*L$13</f>
        <v>0</v>
      </c>
      <c r="E4" s="4">
        <f>'IMAGE SSP2-RCP2.6'!E4/M$14*M$13</f>
        <v>0</v>
      </c>
      <c r="F4" s="4">
        <f>'IMAGE SSP2-RCP2.6'!F4/N$14*N$13</f>
        <v>0</v>
      </c>
      <c r="G4" s="4">
        <f>'IMAGE SSP2-RCP2.6'!G4/O$14*O$13</f>
        <v>0</v>
      </c>
      <c r="H4" s="4">
        <f>'IMAGE SSP2-RCP2.6'!H4/P$14*P$13</f>
        <v>0</v>
      </c>
      <c r="J4" s="5" t="s">
        <v>26</v>
      </c>
      <c r="K4" s="7">
        <f>C25/C9</f>
        <v>0.97695084920524389</v>
      </c>
      <c r="L4" s="7">
        <f t="shared" ref="L4:P4" si="1">D25/D9</f>
        <v>2.6735855583189778</v>
      </c>
      <c r="M4" s="7">
        <f t="shared" si="1"/>
        <v>10.739619190431615</v>
      </c>
      <c r="N4" s="7">
        <f t="shared" si="1"/>
        <v>12.595859044012078</v>
      </c>
      <c r="O4" s="7">
        <f t="shared" si="1"/>
        <v>34.742801122828077</v>
      </c>
      <c r="P4" s="7">
        <f t="shared" si="1"/>
        <v>2.379134601263067</v>
      </c>
    </row>
    <row r="5" spans="1:16" x14ac:dyDescent="0.35">
      <c r="A5" s="30"/>
      <c r="B5" s="24" t="s">
        <v>11</v>
      </c>
      <c r="C5" s="4">
        <f>'IMAGE SSP2-RCP2.6'!C5/K$14*K$13</f>
        <v>0</v>
      </c>
      <c r="D5" s="4">
        <f>'IMAGE SSP2-RCP2.6'!D5/L$14*L$13</f>
        <v>0</v>
      </c>
      <c r="E5" s="4">
        <f>'IMAGE SSP2-RCP2.6'!E5/M$14*M$13</f>
        <v>0</v>
      </c>
      <c r="F5" s="4">
        <f>'IMAGE SSP2-RCP2.6'!F5/N$14*N$13</f>
        <v>0</v>
      </c>
      <c r="G5" s="4">
        <f>'IMAGE SSP2-RCP2.6'!G5/O$14*O$13</f>
        <v>0</v>
      </c>
      <c r="H5" s="4">
        <f>'IMAGE SSP2-RCP2.6'!H5/P$14*P$13</f>
        <v>0</v>
      </c>
      <c r="J5" s="5" t="s">
        <v>28</v>
      </c>
      <c r="K5" s="7">
        <f>C33/C9</f>
        <v>1.016610203685073</v>
      </c>
      <c r="L5" s="7">
        <f t="shared" ref="L5:P5" si="2">D33/D9</f>
        <v>2.6126958339153763</v>
      </c>
      <c r="M5" s="7">
        <f t="shared" si="2"/>
        <v>19.843496602135044</v>
      </c>
      <c r="N5" s="7">
        <f t="shared" si="2"/>
        <v>19.403657197105407</v>
      </c>
      <c r="O5" s="7">
        <f t="shared" si="2"/>
        <v>91.810292970711075</v>
      </c>
      <c r="P5" s="7">
        <f t="shared" si="2"/>
        <v>2.6906352079390734</v>
      </c>
    </row>
    <row r="6" spans="1:16" x14ac:dyDescent="0.35">
      <c r="A6" s="30"/>
      <c r="B6" s="24" t="s">
        <v>12</v>
      </c>
      <c r="C6" s="4">
        <f>'IMAGE SSP2-RCP2.6'!C6/K$14*K$13</f>
        <v>0</v>
      </c>
      <c r="D6" s="4">
        <f>'IMAGE SSP2-RCP2.6'!D6/L$14*L$13</f>
        <v>0</v>
      </c>
      <c r="E6" s="4">
        <f>'IMAGE SSP2-RCP2.6'!E6/M$14*M$13</f>
        <v>0</v>
      </c>
      <c r="F6" s="4">
        <f>'IMAGE SSP2-RCP2.6'!F6/N$14*N$13</f>
        <v>0</v>
      </c>
      <c r="G6" s="4">
        <f>'IMAGE SSP2-RCP2.6'!G6/O$14*O$13</f>
        <v>0</v>
      </c>
      <c r="H6" s="4">
        <f>'IMAGE SSP2-RCP2.6'!H6/P$14*P$13</f>
        <v>0</v>
      </c>
      <c r="J6" s="5" t="s">
        <v>27</v>
      </c>
      <c r="K6" s="7">
        <f>C41/C9</f>
        <v>0.96137938896650421</v>
      </c>
      <c r="L6" s="7">
        <f t="shared" ref="L6:P6" si="3">D41/D9</f>
        <v>2.2348994806745921</v>
      </c>
      <c r="M6" s="7">
        <f t="shared" si="3"/>
        <v>12.784728495784092</v>
      </c>
      <c r="N6" s="7">
        <f t="shared" si="3"/>
        <v>10.603217242393015</v>
      </c>
      <c r="O6" s="7">
        <f t="shared" si="3"/>
        <v>57.169526938150199</v>
      </c>
      <c r="P6" s="7">
        <f t="shared" si="3"/>
        <v>2.2415473807960269</v>
      </c>
    </row>
    <row r="7" spans="1:16" x14ac:dyDescent="0.35">
      <c r="A7" s="30"/>
      <c r="B7" s="24" t="s">
        <v>13</v>
      </c>
      <c r="C7" s="4">
        <f>'IMAGE SSP2-RCP2.6'!C7/K$14*K$13</f>
        <v>0</v>
      </c>
      <c r="D7" s="4">
        <f>'IMAGE SSP2-RCP2.6'!D7/L$14*L$13</f>
        <v>0</v>
      </c>
      <c r="E7" s="4">
        <f>'IMAGE SSP2-RCP2.6'!E7/M$14*M$13</f>
        <v>0</v>
      </c>
      <c r="F7" s="4">
        <f>'IMAGE SSP2-RCP2.6'!F7/N$14*N$13</f>
        <v>0</v>
      </c>
      <c r="G7" s="4">
        <f>'IMAGE SSP2-RCP2.6'!G7/O$14*O$13</f>
        <v>0</v>
      </c>
      <c r="H7" s="4">
        <f>'IMAGE SSP2-RCP2.6'!H7/P$14*P$13</f>
        <v>0</v>
      </c>
      <c r="J7" s="5" t="s">
        <v>23</v>
      </c>
      <c r="K7" s="7">
        <f>C49/C9</f>
        <v>0.69998358750034717</v>
      </c>
      <c r="L7" s="7">
        <f t="shared" ref="L7:P7" si="4">D49/D9</f>
        <v>3.6435396361851327</v>
      </c>
      <c r="M7" s="7">
        <f t="shared" si="4"/>
        <v>10.784766308061565</v>
      </c>
      <c r="N7" s="7">
        <f t="shared" si="4"/>
        <v>19.664242217297542</v>
      </c>
      <c r="O7" s="7">
        <f t="shared" si="4"/>
        <v>10.593345847496574</v>
      </c>
      <c r="P7" s="7">
        <f t="shared" si="4"/>
        <v>3.0623124082133359</v>
      </c>
    </row>
    <row r="8" spans="1:16" x14ac:dyDescent="0.35">
      <c r="A8" s="30"/>
      <c r="B8" s="24" t="s">
        <v>14</v>
      </c>
      <c r="C8" s="4">
        <f>'IMAGE SSP2-RCP2.6'!C8/K$14*K$13</f>
        <v>0</v>
      </c>
      <c r="D8" s="4">
        <f>'IMAGE SSP2-RCP2.6'!D8/L$14*L$13</f>
        <v>0</v>
      </c>
      <c r="E8" s="4">
        <f>'IMAGE SSP2-RCP2.6'!E8/M$14*M$13</f>
        <v>0</v>
      </c>
      <c r="F8" s="4">
        <f>'IMAGE SSP2-RCP2.6'!F8/N$14*N$13</f>
        <v>0</v>
      </c>
      <c r="G8" s="4">
        <f>'IMAGE SSP2-RCP2.6'!G8/O$14*O$13</f>
        <v>0</v>
      </c>
      <c r="H8" s="4">
        <f>'IMAGE SSP2-RCP2.6'!H8/P$14*P$13</f>
        <v>0</v>
      </c>
      <c r="J8" s="5" t="s">
        <v>24</v>
      </c>
      <c r="K8" s="7">
        <f>C57/C9</f>
        <v>0.7094949611920125</v>
      </c>
      <c r="L8" s="7">
        <f t="shared" ref="L8:P8" si="5">D57/D9</f>
        <v>1.7961384557286537</v>
      </c>
      <c r="M8" s="7">
        <f t="shared" si="5"/>
        <v>33.757173562166379</v>
      </c>
      <c r="N8" s="7">
        <f t="shared" si="5"/>
        <v>42.289681491824261</v>
      </c>
      <c r="O8" s="7">
        <f t="shared" si="5"/>
        <v>13.56031363225032</v>
      </c>
      <c r="P8" s="7">
        <f t="shared" si="5"/>
        <v>6.1419984465683308</v>
      </c>
    </row>
    <row r="9" spans="1:16" x14ac:dyDescent="0.35">
      <c r="A9" s="30"/>
      <c r="B9" s="24" t="s">
        <v>15</v>
      </c>
      <c r="C9" s="4">
        <f>'IMAGE SSP2-RCP2.6'!C9/K$14*K$13</f>
        <v>2.5530952356669463</v>
      </c>
      <c r="D9" s="4">
        <f>'IMAGE SSP2-RCP2.6'!D9/L$14*L$13</f>
        <v>1.3040844392004713</v>
      </c>
      <c r="E9" s="4">
        <f>'IMAGE SSP2-RCP2.6'!E9/M$14*M$13</f>
        <v>2.9748069746197221E-2</v>
      </c>
      <c r="F9" s="4">
        <f>'IMAGE SSP2-RCP2.6'!F9/N$14*N$13</f>
        <v>1.7346450155424408E-3</v>
      </c>
      <c r="G9" s="4">
        <f>'IMAGE SSP2-RCP2.6'!G9/O$14*O$13</f>
        <v>1.440037127122335E-2</v>
      </c>
      <c r="H9" s="4">
        <f>'IMAGE SSP2-RCP2.6'!H9/P$14*P$13</f>
        <v>1.0401359048463519E-2</v>
      </c>
      <c r="J9" s="5" t="s">
        <v>21</v>
      </c>
      <c r="K9" s="7">
        <f>C65/C9</f>
        <v>1.3721450476670543</v>
      </c>
      <c r="L9" s="7">
        <f t="shared" ref="L9:P9" si="6">D65/D9</f>
        <v>2.029869426326353</v>
      </c>
      <c r="M9" s="7">
        <f t="shared" si="6"/>
        <v>24.564726136230266</v>
      </c>
      <c r="N9" s="7">
        <f t="shared" si="6"/>
        <v>9.5118120278766796</v>
      </c>
      <c r="O9" s="7">
        <f t="shared" si="6"/>
        <v>150.36027068201616</v>
      </c>
      <c r="P9" s="7">
        <f t="shared" si="6"/>
        <v>2.4511308594783876</v>
      </c>
    </row>
    <row r="10" spans="1:16" x14ac:dyDescent="0.35">
      <c r="A10" s="30" t="s">
        <v>25</v>
      </c>
      <c r="B10" s="24" t="s">
        <v>16</v>
      </c>
      <c r="C10" s="4">
        <f>'IMAGE SSP2-RCP2.6'!C10/K$14*K$13</f>
        <v>1.0332829962259993</v>
      </c>
      <c r="D10" s="4">
        <f>'IMAGE SSP2-RCP2.6'!D10/L$14*L$13</f>
        <v>0.5200997440466768</v>
      </c>
      <c r="E10" s="4">
        <f>'IMAGE SSP2-RCP2.6'!E10/M$14*M$13</f>
        <v>0</v>
      </c>
      <c r="F10" s="4">
        <f>'IMAGE SSP2-RCP2.6'!F10/N$14*N$13</f>
        <v>0</v>
      </c>
      <c r="G10" s="4">
        <f>'IMAGE SSP2-RCP2.6'!G10/O$14*O$13</f>
        <v>0</v>
      </c>
      <c r="H10" s="4">
        <f>'IMAGE SSP2-RCP2.6'!H10/P$14*P$13</f>
        <v>0</v>
      </c>
      <c r="J10" s="5" t="s">
        <v>22</v>
      </c>
      <c r="K10" s="7">
        <f>C73/C9</f>
        <v>0.62739351198877935</v>
      </c>
      <c r="L10" s="7">
        <f t="shared" ref="L10:P10" si="7">D73/D9</f>
        <v>0.9979620460781653</v>
      </c>
      <c r="M10" s="7">
        <f t="shared" si="7"/>
        <v>31.672080263378426</v>
      </c>
      <c r="N10" s="7">
        <f t="shared" si="7"/>
        <v>13.318167520891487</v>
      </c>
      <c r="O10" s="7">
        <f t="shared" si="7"/>
        <v>12.484776609282703</v>
      </c>
      <c r="P10" s="7">
        <f t="shared" si="7"/>
        <v>0.86572151087733673</v>
      </c>
    </row>
    <row r="11" spans="1:16" x14ac:dyDescent="0.35">
      <c r="A11" s="30"/>
      <c r="B11" s="24" t="s">
        <v>9</v>
      </c>
      <c r="C11" s="4">
        <f>'IMAGE SSP2-RCP2.6'!C11/K$14*K$13</f>
        <v>1.3956236927037236</v>
      </c>
      <c r="D11" s="4">
        <f>'IMAGE SSP2-RCP2.6'!D11/L$14*L$13</f>
        <v>0.71635073124379123</v>
      </c>
      <c r="E11" s="4">
        <f>'IMAGE SSP2-RCP2.6'!E11/M$14*M$13</f>
        <v>2.1722022573968745E-2</v>
      </c>
      <c r="F11" s="4">
        <f>'IMAGE SSP2-RCP2.6'!F11/N$14*N$13</f>
        <v>1.266636743389107E-3</v>
      </c>
      <c r="G11" s="4">
        <f>'IMAGE SSP2-RCP2.6'!G11/O$14*O$13</f>
        <v>1.0515142410778812E-2</v>
      </c>
      <c r="H11" s="4">
        <f>'IMAGE SSP2-RCP2.6'!H11/P$14*P$13</f>
        <v>7.595066099357956E-3</v>
      </c>
    </row>
    <row r="12" spans="1:16" x14ac:dyDescent="0.35">
      <c r="A12" s="30"/>
      <c r="B12" s="24" t="s">
        <v>10</v>
      </c>
      <c r="C12" s="4">
        <f>'IMAGE SSP2-RCP2.6'!C12/K$14*K$13</f>
        <v>0.17064661634740791</v>
      </c>
      <c r="D12" s="4">
        <f>'IMAGE SSP2-RCP2.6'!D12/L$14*L$13</f>
        <v>0.16116499328922271</v>
      </c>
      <c r="E12" s="4">
        <f>'IMAGE SSP2-RCP2.6'!E12/M$14*M$13</f>
        <v>6.2225465897146393E-2</v>
      </c>
      <c r="F12" s="4">
        <f>'IMAGE SSP2-RCP2.6'!F12/N$14*N$13</f>
        <v>1.4041200954339002E-3</v>
      </c>
      <c r="G12" s="4">
        <f>'IMAGE SSP2-RCP2.6'!G12/O$14*O$13</f>
        <v>0.18443585031089546</v>
      </c>
      <c r="H12" s="4">
        <f>'IMAGE SSP2-RCP2.6'!H12/P$14*P$13</f>
        <v>2.1633629523645447E-3</v>
      </c>
      <c r="J12" t="s">
        <v>33</v>
      </c>
      <c r="K12" s="24" t="s">
        <v>2</v>
      </c>
      <c r="L12" s="24" t="s">
        <v>3</v>
      </c>
      <c r="M12" s="24" t="s">
        <v>4</v>
      </c>
      <c r="N12" s="24" t="s">
        <v>5</v>
      </c>
      <c r="O12" s="24" t="s">
        <v>6</v>
      </c>
      <c r="P12" s="24" t="s">
        <v>7</v>
      </c>
    </row>
    <row r="13" spans="1:16" x14ac:dyDescent="0.35">
      <c r="A13" s="30"/>
      <c r="B13" s="24" t="s">
        <v>11</v>
      </c>
      <c r="C13" s="4">
        <f>'IMAGE SSP2-RCP2.6'!C13/K$14*K$13</f>
        <v>8.767394288116237E-2</v>
      </c>
      <c r="D13" s="4">
        <f>'IMAGE SSP2-RCP2.6'!D13/L$14*L$13</f>
        <v>0.33785374963189879</v>
      </c>
      <c r="E13" s="4">
        <f>'IMAGE SSP2-RCP2.6'!E13/M$14*M$13</f>
        <v>1.2323756503231554E-2</v>
      </c>
      <c r="F13" s="4">
        <f>'IMAGE SSP2-RCP2.6'!F13/N$14*N$13</f>
        <v>1.6567271545944208E-3</v>
      </c>
      <c r="G13" s="4">
        <f>'IMAGE SSP2-RCP2.6'!G13/O$14*O$13</f>
        <v>1.8354871825371127E-2</v>
      </c>
      <c r="H13" s="4">
        <f>'IMAGE SSP2-RCP2.6'!H13/P$14*P$13</f>
        <v>1.9167549074481146E-3</v>
      </c>
      <c r="J13" t="s">
        <v>34</v>
      </c>
      <c r="K13" s="15">
        <v>0.9</v>
      </c>
      <c r="L13" s="15">
        <v>1.2E-2</v>
      </c>
      <c r="M13" s="15">
        <v>0.02</v>
      </c>
      <c r="N13" s="15">
        <v>2E-3</v>
      </c>
      <c r="O13" s="15">
        <v>2.2000000000000002</v>
      </c>
      <c r="P13" s="15">
        <v>0.4</v>
      </c>
    </row>
    <row r="14" spans="1:16" x14ac:dyDescent="0.35">
      <c r="A14" s="30"/>
      <c r="B14" s="24" t="s">
        <v>12</v>
      </c>
      <c r="C14" s="4">
        <f>'IMAGE SSP2-RCP2.6'!C14/K$14*K$13</f>
        <v>-6.9806750776692433E-2</v>
      </c>
      <c r="D14" s="4">
        <f>'IMAGE SSP2-RCP2.6'!D14/L$14*L$13</f>
        <v>0.38916176740641989</v>
      </c>
      <c r="E14" s="4">
        <f>'IMAGE SSP2-RCP2.6'!E14/M$14*M$13</f>
        <v>9.026019426064345E-3</v>
      </c>
      <c r="F14" s="4">
        <f>'IMAGE SSP2-RCP2.6'!F14/N$14*N$13</f>
        <v>2.0653811909791308E-3</v>
      </c>
      <c r="G14" s="4">
        <f>'IMAGE SSP2-RCP2.6'!G14/O$14*O$13</f>
        <v>4.0441832780400708E-3</v>
      </c>
      <c r="H14" s="4">
        <f>'IMAGE SSP2-RCP2.6'!H14/P$14*P$13</f>
        <v>1.7459291454209641E-3</v>
      </c>
      <c r="J14" t="s">
        <v>35</v>
      </c>
      <c r="K14" s="15">
        <v>2.9</v>
      </c>
      <c r="L14" s="15">
        <v>2.9</v>
      </c>
      <c r="M14" s="15">
        <v>2.9</v>
      </c>
      <c r="N14" s="15">
        <v>2.9</v>
      </c>
      <c r="O14" s="15">
        <v>2.9</v>
      </c>
      <c r="P14" s="15">
        <v>2.9</v>
      </c>
    </row>
    <row r="15" spans="1:16" x14ac:dyDescent="0.35">
      <c r="A15" s="30"/>
      <c r="B15" s="24" t="s">
        <v>13</v>
      </c>
      <c r="C15" s="4">
        <f>'IMAGE SSP2-RCP2.6'!C15/K$14*K$13</f>
        <v>3.9950413440448911E-3</v>
      </c>
      <c r="D15" s="4">
        <f>'IMAGE SSP2-RCP2.6'!D15/L$14*L$13</f>
        <v>5.0889632692332869E-3</v>
      </c>
      <c r="E15" s="4">
        <f>'IMAGE SSP2-RCP2.6'!E15/M$14*M$13</f>
        <v>3.8659973774434753E-2</v>
      </c>
      <c r="F15" s="4">
        <f>'IMAGE SSP2-RCP2.6'!F15/N$14*N$13</f>
        <v>2.6607274765739122E-3</v>
      </c>
      <c r="G15" s="4">
        <f>'IMAGE SSP2-RCP2.6'!G15/O$14*O$13</f>
        <v>6.1342564843330843E-3</v>
      </c>
      <c r="H15" s="4">
        <f>'IMAGE SSP2-RCP2.6'!H15/P$14*P$13</f>
        <v>2.2818978433609299E-3</v>
      </c>
    </row>
    <row r="16" spans="1:16" x14ac:dyDescent="0.35">
      <c r="A16" s="30"/>
      <c r="B16" s="24" t="s">
        <v>14</v>
      </c>
      <c r="C16" s="4">
        <f>'IMAGE SSP2-RCP2.6'!C16/K$14*K$13</f>
        <v>0</v>
      </c>
      <c r="D16" s="4">
        <f>'IMAGE SSP2-RCP2.6'!D16/L$14*L$13</f>
        <v>0</v>
      </c>
      <c r="E16" s="4">
        <f>'IMAGE SSP2-RCP2.6'!E16/M$14*M$13</f>
        <v>0</v>
      </c>
      <c r="F16" s="4">
        <f>'IMAGE SSP2-RCP2.6'!F16/N$14*N$13</f>
        <v>0</v>
      </c>
      <c r="G16" s="4">
        <f>'IMAGE SSP2-RCP2.6'!G16/O$14*O$13</f>
        <v>0</v>
      </c>
      <c r="H16" s="4">
        <f>'IMAGE SSP2-RCP2.6'!H16/P$14*P$13</f>
        <v>0</v>
      </c>
    </row>
    <row r="17" spans="1:8" x14ac:dyDescent="0.35">
      <c r="A17" s="30"/>
      <c r="B17" s="24" t="s">
        <v>15</v>
      </c>
      <c r="C17" s="4">
        <f>'IMAGE SSP2-RCP2.6'!C17/K$14*K$13</f>
        <v>2.5484134350075602</v>
      </c>
      <c r="D17" s="4">
        <f>'IMAGE SSP2-RCP2.6'!D17/L$14*L$13</f>
        <v>2.092974569743947</v>
      </c>
      <c r="E17" s="4">
        <f>'IMAGE SSP2-RCP2.6'!E17/M$14*M$13</f>
        <v>0.14395723817484579</v>
      </c>
      <c r="F17" s="4">
        <f>'IMAGE SSP2-RCP2.6'!F17/N$14*N$13</f>
        <v>9.0535926609704703E-3</v>
      </c>
      <c r="G17" s="4">
        <f>'IMAGE SSP2-RCP2.6'!G17/O$14*O$13</f>
        <v>0.22348430430941849</v>
      </c>
      <c r="H17" s="4">
        <f>'IMAGE SSP2-RCP2.6'!H17/P$14*P$13</f>
        <v>1.5703010947952508E-2</v>
      </c>
    </row>
    <row r="18" spans="1:8" x14ac:dyDescent="0.35">
      <c r="A18" s="30" t="s">
        <v>26</v>
      </c>
      <c r="B18" s="24" t="s">
        <v>16</v>
      </c>
      <c r="C18" s="4">
        <f>'IMAGE SSP2-RCP2.6'!C18/K$14*K$13</f>
        <v>1.0332829962259993</v>
      </c>
      <c r="D18" s="4">
        <f>'IMAGE SSP2-RCP2.6'!D18/L$14*L$13</f>
        <v>0.5200997440466768</v>
      </c>
      <c r="E18" s="4">
        <f>'IMAGE SSP2-RCP2.6'!E18/M$14*M$13</f>
        <v>0</v>
      </c>
      <c r="F18" s="4">
        <f>'IMAGE SSP2-RCP2.6'!F18/N$14*N$13</f>
        <v>0</v>
      </c>
      <c r="G18" s="4">
        <f>'IMAGE SSP2-RCP2.6'!G18/O$14*O$13</f>
        <v>0</v>
      </c>
      <c r="H18" s="4">
        <f>'IMAGE SSP2-RCP2.6'!H18/P$14*P$13</f>
        <v>0</v>
      </c>
    </row>
    <row r="19" spans="1:8" x14ac:dyDescent="0.35">
      <c r="A19" s="30"/>
      <c r="B19" s="24" t="s">
        <v>9</v>
      </c>
      <c r="C19" s="4">
        <f>'IMAGE SSP2-RCP2.6'!C19/K$14*K$13</f>
        <v>0.9681459931398857</v>
      </c>
      <c r="D19" s="4">
        <f>'IMAGE SSP2-RCP2.6'!D19/L$14*L$13</f>
        <v>0.4926575658064411</v>
      </c>
      <c r="E19" s="4">
        <f>'IMAGE SSP2-RCP2.6'!E19/M$14*M$13</f>
        <v>8.3710784500427796E-3</v>
      </c>
      <c r="F19" s="4">
        <f>'IMAGE SSP2-RCP2.6'!F19/N$14*N$13</f>
        <v>4.8812745270431163E-4</v>
      </c>
      <c r="G19" s="4">
        <f>'IMAGE SSP2-RCP2.6'!G19/O$14*O$13</f>
        <v>4.0522507392790653E-3</v>
      </c>
      <c r="H19" s="4">
        <f>'IMAGE SSP2-RCP2.6'!H19/P$14*P$13</f>
        <v>2.9269325144324998E-3</v>
      </c>
    </row>
    <row r="20" spans="1:8" x14ac:dyDescent="0.35">
      <c r="A20" s="30"/>
      <c r="B20" s="24" t="s">
        <v>10</v>
      </c>
      <c r="C20" s="4">
        <f>'IMAGE SSP2-RCP2.6'!C20/K$14*K$13</f>
        <v>0.48145191066624793</v>
      </c>
      <c r="D20" s="4">
        <f>'IMAGE SSP2-RCP2.6'!D20/L$14*L$13</f>
        <v>0.4116571081594213</v>
      </c>
      <c r="E20" s="4">
        <f>'IMAGE SSP2-RCP2.6'!E20/M$14*M$13</f>
        <v>0.13997510126608304</v>
      </c>
      <c r="F20" s="4">
        <f>'IMAGE SSP2-RCP2.6'!F20/N$14*N$13</f>
        <v>3.1585436880933915E-3</v>
      </c>
      <c r="G20" s="4">
        <f>'IMAGE SSP2-RCP2.6'!G20/O$14*O$13</f>
        <v>0.41488523150692314</v>
      </c>
      <c r="H20" s="4">
        <f>'IMAGE SSP2-RCP2.6'!H20/P$14*P$13</f>
        <v>4.8664472650642972E-3</v>
      </c>
    </row>
    <row r="21" spans="1:8" x14ac:dyDescent="0.35">
      <c r="A21" s="30"/>
      <c r="B21" s="24" t="s">
        <v>11</v>
      </c>
      <c r="C21" s="4">
        <f>'IMAGE SSP2-RCP2.6'!C21/K$14*K$13</f>
        <v>0.32801960838517352</v>
      </c>
      <c r="D21" s="4">
        <f>'IMAGE SSP2-RCP2.6'!D21/L$14*L$13</f>
        <v>1.0027525599815759</v>
      </c>
      <c r="E21" s="4">
        <f>'IMAGE SSP2-RCP2.6'!E21/M$14*M$13</f>
        <v>3.5145085287508433E-2</v>
      </c>
      <c r="F21" s="4">
        <f>'IMAGE SSP2-RCP2.6'!F21/N$14*N$13</f>
        <v>4.7246809145477719E-3</v>
      </c>
      <c r="G21" s="4">
        <f>'IMAGE SSP2-RCP2.6'!G21/O$14*O$13</f>
        <v>5.2344716124081099E-2</v>
      </c>
      <c r="H21" s="4">
        <f>'IMAGE SSP2-RCP2.6'!H21/P$14*P$13</f>
        <v>5.4662322060525887E-3</v>
      </c>
    </row>
    <row r="22" spans="1:8" x14ac:dyDescent="0.35">
      <c r="A22" s="30"/>
      <c r="B22" s="24" t="s">
        <v>12</v>
      </c>
      <c r="C22" s="4">
        <f>'IMAGE SSP2-RCP2.6'!C22/K$14*K$13</f>
        <v>-0.25877982228783419</v>
      </c>
      <c r="D22" s="4">
        <f>'IMAGE SSP2-RCP2.6'!D22/L$14*L$13</f>
        <v>1.07976600454904</v>
      </c>
      <c r="E22" s="4">
        <f>'IMAGE SSP2-RCP2.6'!E22/M$14*M$13</f>
        <v>2.5740546111289803E-2</v>
      </c>
      <c r="F22" s="4">
        <f>'IMAGE SSP2-RCP2.6'!F22/N$14*N$13</f>
        <v>5.8900870111433306E-3</v>
      </c>
      <c r="G22" s="4">
        <f>'IMAGE SSP2-RCP2.6'!G22/O$14*O$13</f>
        <v>1.1533266353304157E-2</v>
      </c>
      <c r="H22" s="4">
        <f>'IMAGE SSP2-RCP2.6'!H22/P$14*P$13</f>
        <v>4.9790685742351695E-3</v>
      </c>
    </row>
    <row r="23" spans="1:8" x14ac:dyDescent="0.35">
      <c r="A23" s="30"/>
      <c r="B23" s="24" t="s">
        <v>13</v>
      </c>
      <c r="C23" s="4">
        <f>'IMAGE SSP2-RCP2.6'!C23/K$14*K$13</f>
        <v>1.5129976175299244E-2</v>
      </c>
      <c r="D23" s="4">
        <f>'IMAGE SSP2-RCP2.6'!D23/L$14*L$13</f>
        <v>1.639372007502389E-2</v>
      </c>
      <c r="E23" s="4">
        <f>'IMAGE SSP2-RCP2.6'!E23/M$14*M$13</f>
        <v>0.11025112960963381</v>
      </c>
      <c r="F23" s="4">
        <f>'IMAGE SSP2-RCP2.6'!F23/N$14*N$13</f>
        <v>7.5879050406819186E-3</v>
      </c>
      <c r="G23" s="4">
        <f>'IMAGE SSP2-RCP2.6'!G23/O$14*O$13</f>
        <v>1.7493770447412352E-2</v>
      </c>
      <c r="H23" s="4">
        <f>'IMAGE SSP2-RCP2.6'!H23/P$14*P$13</f>
        <v>6.5075526525756964E-3</v>
      </c>
    </row>
    <row r="24" spans="1:8" x14ac:dyDescent="0.35">
      <c r="A24" s="30"/>
      <c r="B24" s="24" t="s">
        <v>14</v>
      </c>
      <c r="C24" s="4">
        <f>'IMAGE SSP2-RCP2.6'!C24/K$14*K$13</f>
        <v>0</v>
      </c>
      <c r="D24" s="4">
        <f>'IMAGE SSP2-RCP2.6'!D24/L$14*L$13</f>
        <v>0</v>
      </c>
      <c r="E24" s="4">
        <f>'IMAGE SSP2-RCP2.6'!E24/M$14*M$13</f>
        <v>0</v>
      </c>
      <c r="F24" s="4">
        <f>'IMAGE SSP2-RCP2.6'!F24/N$14*N$13</f>
        <v>0</v>
      </c>
      <c r="G24" s="4">
        <f>'IMAGE SSP2-RCP2.6'!G24/O$14*O$13</f>
        <v>0</v>
      </c>
      <c r="H24" s="4">
        <f>'IMAGE SSP2-RCP2.6'!H24/P$14*P$13</f>
        <v>0</v>
      </c>
    </row>
    <row r="25" spans="1:8" x14ac:dyDescent="0.35">
      <c r="A25" s="30"/>
      <c r="B25" s="24" t="s">
        <v>15</v>
      </c>
      <c r="C25" s="4">
        <f>'IMAGE SSP2-RCP2.6'!C25/K$14*K$13</f>
        <v>2.4942485585866856</v>
      </c>
      <c r="D25" s="4">
        <f>'IMAGE SSP2-RCP2.6'!D25/L$14*L$13</f>
        <v>3.486581323474883</v>
      </c>
      <c r="E25" s="4">
        <f>'IMAGE SSP2-RCP2.6'!E25/M$14*M$13</f>
        <v>0.3194829407245578</v>
      </c>
      <c r="F25" s="4">
        <f>'IMAGE SSP2-RCP2.6'!F25/N$14*N$13</f>
        <v>2.1849344107170723E-2</v>
      </c>
      <c r="G25" s="4">
        <f>'IMAGE SSP2-RCP2.6'!G25/O$14*O$13</f>
        <v>0.50030923517099979</v>
      </c>
      <c r="H25" s="4">
        <f>'IMAGE SSP2-RCP2.6'!H25/P$14*P$13</f>
        <v>2.4746233212360247E-2</v>
      </c>
    </row>
    <row r="26" spans="1:8" x14ac:dyDescent="0.35">
      <c r="A26" s="30" t="s">
        <v>28</v>
      </c>
      <c r="B26" s="24" t="s">
        <v>16</v>
      </c>
      <c r="C26" s="4">
        <f>'IMAGE SSP2-RCP2.6'!C26/K$14*K$13</f>
        <v>1.0332829962259993</v>
      </c>
      <c r="D26" s="4">
        <f>'IMAGE SSP2-RCP2.6'!D26/L$14*L$13</f>
        <v>0.5200997440466768</v>
      </c>
      <c r="E26" s="4">
        <f>'IMAGE SSP2-RCP2.6'!E26/M$14*M$13</f>
        <v>0</v>
      </c>
      <c r="F26" s="4">
        <f>'IMAGE SSP2-RCP2.6'!F26/N$14*N$13</f>
        <v>0</v>
      </c>
      <c r="G26" s="4">
        <f>'IMAGE SSP2-RCP2.6'!G26/O$14*O$13</f>
        <v>0</v>
      </c>
      <c r="H26" s="4">
        <f>'IMAGE SSP2-RCP2.6'!H26/P$14*P$13</f>
        <v>0</v>
      </c>
    </row>
    <row r="27" spans="1:8" x14ac:dyDescent="0.35">
      <c r="A27" s="30"/>
      <c r="B27" s="24" t="s">
        <v>9</v>
      </c>
      <c r="C27" s="4">
        <f>'IMAGE SSP2-RCP2.6'!C27/K$14*K$13</f>
        <v>0.55515506841883311</v>
      </c>
      <c r="D27" s="4">
        <f>'IMAGE SSP2-RCP2.6'!D27/L$14*L$13</f>
        <v>0.27943555642107787</v>
      </c>
      <c r="E27" s="4">
        <f>'IMAGE SSP2-RCP2.6'!E27/M$14*M$13</f>
        <v>0</v>
      </c>
      <c r="F27" s="4">
        <f>'IMAGE SSP2-RCP2.6'!F27/N$14*N$13</f>
        <v>0</v>
      </c>
      <c r="G27" s="4">
        <f>'IMAGE SSP2-RCP2.6'!G27/O$14*O$13</f>
        <v>0</v>
      </c>
      <c r="H27" s="4">
        <f>'IMAGE SSP2-RCP2.6'!H27/P$14*P$13</f>
        <v>0</v>
      </c>
    </row>
    <row r="28" spans="1:8" x14ac:dyDescent="0.35">
      <c r="A28" s="30"/>
      <c r="B28" s="24" t="s">
        <v>10</v>
      </c>
      <c r="C28" s="4">
        <f>'IMAGE SSP2-RCP2.6'!C28/K$14*K$13</f>
        <v>0.94091926521511993</v>
      </c>
      <c r="D28" s="4">
        <f>'IMAGE SSP2-RCP2.6'!D28/L$14*L$13</f>
        <v>0.96574356510313375</v>
      </c>
      <c r="E28" s="4">
        <f>'IMAGE SSP2-RCP2.6'!E28/M$14*M$13</f>
        <v>0.40684325612416666</v>
      </c>
      <c r="F28" s="4">
        <f>'IMAGE SSP2-RCP2.6'!F28/N$14*N$13</f>
        <v>9.1804341418663584E-3</v>
      </c>
      <c r="G28" s="4">
        <f>'IMAGE SSP2-RCP2.6'!G28/O$14*O$13</f>
        <v>1.2058805957442451</v>
      </c>
      <c r="H28" s="4">
        <f>'IMAGE SSP2-RCP2.6'!H28/P$14*P$13</f>
        <v>1.4144524513053822E-2</v>
      </c>
    </row>
    <row r="29" spans="1:8" x14ac:dyDescent="0.35">
      <c r="A29" s="30"/>
      <c r="B29" s="24" t="s">
        <v>11</v>
      </c>
      <c r="C29" s="4">
        <f>'IMAGE SSP2-RCP2.6'!C29/K$14*K$13</f>
        <v>0.44470043174913054</v>
      </c>
      <c r="D29" s="4">
        <f>'IMAGE SSP2-RCP2.6'!D29/L$14*L$13</f>
        <v>0.87326512410782542</v>
      </c>
      <c r="E29" s="4">
        <f>'IMAGE SSP2-RCP2.6'!E29/M$14*M$13</f>
        <v>2.7248003630176553E-2</v>
      </c>
      <c r="F29" s="4">
        <f>'IMAGE SSP2-RCP2.6'!F29/N$14*N$13</f>
        <v>3.6630476681978842E-3</v>
      </c>
      <c r="G29" s="4">
        <f>'IMAGE SSP2-RCP2.6'!G29/O$14*O$13</f>
        <v>4.0582886719482986E-2</v>
      </c>
      <c r="H29" s="4">
        <f>'IMAGE SSP2-RCP2.6'!H29/P$14*P$13</f>
        <v>4.237972785539031E-3</v>
      </c>
    </row>
    <row r="30" spans="1:8" x14ac:dyDescent="0.35">
      <c r="A30" s="30"/>
      <c r="B30" s="24" t="s">
        <v>12</v>
      </c>
      <c r="C30" s="4">
        <f>'IMAGE SSP2-RCP2.6'!C30/K$14*K$13</f>
        <v>-0.34471396611260913</v>
      </c>
      <c r="D30" s="4">
        <f>'IMAGE SSP2-RCP2.6'!D30/L$14*L$13</f>
        <v>0.76462003164830206</v>
      </c>
      <c r="E30" s="4">
        <f>'IMAGE SSP2-RCP2.6'!E30/M$14*M$13</f>
        <v>1.9956659320796738E-2</v>
      </c>
      <c r="F30" s="4">
        <f>'IMAGE SSP2-RCP2.6'!F30/N$14*N$13</f>
        <v>4.5665876451502895E-3</v>
      </c>
      <c r="G30" s="4">
        <f>'IMAGE SSP2-RCP2.6'!G30/O$14*O$13</f>
        <v>8.941747641008602E-3</v>
      </c>
      <c r="H30" s="4">
        <f>'IMAGE SSP2-RCP2.6'!H30/P$14*P$13</f>
        <v>3.8602745583286081E-3</v>
      </c>
    </row>
    <row r="31" spans="1:8" x14ac:dyDescent="0.35">
      <c r="A31" s="30"/>
      <c r="B31" s="24" t="s">
        <v>13</v>
      </c>
      <c r="C31" s="4">
        <f>'IMAGE SSP2-RCP2.6'!C31/K$14*K$13</f>
        <v>2.0937914460127705E-2</v>
      </c>
      <c r="D31" s="4">
        <f>'IMAGE SSP2-RCP2.6'!D31/L$14*L$13</f>
        <v>1.7344694514633864E-2</v>
      </c>
      <c r="E31" s="4">
        <f>'IMAGE SSP2-RCP2.6'!E31/M$14*M$13</f>
        <v>8.5477760411129741E-2</v>
      </c>
      <c r="F31" s="4">
        <f>'IMAGE SSP2-RCP2.6'!F31/N$14*N$13</f>
        <v>5.88290688164648E-3</v>
      </c>
      <c r="G31" s="4">
        <f>'IMAGE SSP2-RCP2.6'!G31/O$14*O$13</f>
        <v>1.3562929688663726E-2</v>
      </c>
      <c r="H31" s="4">
        <f>'IMAGE SSP2-RCP2.6'!H31/P$14*P$13</f>
        <v>5.0453090908836535E-3</v>
      </c>
    </row>
    <row r="32" spans="1:8" x14ac:dyDescent="0.35">
      <c r="A32" s="30"/>
      <c r="B32" s="24" t="s">
        <v>14</v>
      </c>
      <c r="C32" s="4">
        <f>'IMAGE SSP2-RCP2.6'!C32/K$14*K$13</f>
        <v>1.8223061320247879E-2</v>
      </c>
      <c r="D32" s="4">
        <f>'IMAGE SSP2-RCP2.6'!D32/L$14*L$13</f>
        <v>2.3412644674588229E-2</v>
      </c>
      <c r="E32" s="4">
        <f>'IMAGE SSP2-RCP2.6'!E32/M$14*M$13</f>
        <v>5.078004144247119E-2</v>
      </c>
      <c r="F32" s="4">
        <f>'IMAGE SSP2-RCP2.6'!F32/N$14*N$13</f>
        <v>1.0365480903392083E-2</v>
      </c>
      <c r="G32" s="4">
        <f>'IMAGE SSP2-RCP2.6'!G32/O$14*O$13</f>
        <v>5.3134145504626328E-2</v>
      </c>
      <c r="H32" s="4">
        <f>'IMAGE SSP2-RCP2.6'!H32/P$14*P$13</f>
        <v>6.9818191840648408E-4</v>
      </c>
    </row>
    <row r="33" spans="1:8" x14ac:dyDescent="0.35">
      <c r="A33" s="30"/>
      <c r="B33" s="24" t="s">
        <v>15</v>
      </c>
      <c r="C33" s="4">
        <f>'IMAGE SSP2-RCP2.6'!C33/K$14*K$13</f>
        <v>2.595502667558764</v>
      </c>
      <c r="D33" s="4">
        <f>'IMAGE SSP2-RCP2.6'!D33/L$14*L$13</f>
        <v>3.4071759813729412</v>
      </c>
      <c r="E33" s="4">
        <f>'IMAGE SSP2-RCP2.6'!E33/M$14*M$13</f>
        <v>0.5903057209287409</v>
      </c>
      <c r="F33" s="4">
        <f>'IMAGE SSP2-RCP2.6'!F33/N$14*N$13</f>
        <v>3.3658457240253098E-2</v>
      </c>
      <c r="G33" s="4">
        <f>'IMAGE SSP2-RCP2.6'!G33/O$14*O$13</f>
        <v>1.3221023052980267</v>
      </c>
      <c r="H33" s="4">
        <f>'IMAGE SSP2-RCP2.6'!H33/P$14*P$13</f>
        <v>2.7986262866211604E-2</v>
      </c>
    </row>
    <row r="34" spans="1:8" x14ac:dyDescent="0.35">
      <c r="A34" s="30" t="s">
        <v>27</v>
      </c>
      <c r="B34" s="24" t="s">
        <v>16</v>
      </c>
      <c r="C34" s="4">
        <f>'IMAGE SSP2-RCP2.6'!C34/K$14*K$13</f>
        <v>1.0332829962259993</v>
      </c>
      <c r="D34" s="4">
        <f>'IMAGE SSP2-RCP2.6'!D34/L$14*L$13</f>
        <v>0.5200997440466768</v>
      </c>
      <c r="E34" s="4">
        <f>'IMAGE SSP2-RCP2.6'!E34/M$14*M$13</f>
        <v>0</v>
      </c>
      <c r="F34" s="4">
        <f>'IMAGE SSP2-RCP2.6'!F34/N$14*N$13</f>
        <v>0</v>
      </c>
      <c r="G34" s="4">
        <f>'IMAGE SSP2-RCP2.6'!G34/O$14*O$13</f>
        <v>0</v>
      </c>
      <c r="H34" s="4">
        <f>'IMAGE SSP2-RCP2.6'!H34/P$14*P$13</f>
        <v>0</v>
      </c>
    </row>
    <row r="35" spans="1:8" x14ac:dyDescent="0.35">
      <c r="A35" s="30"/>
      <c r="B35" s="24" t="s">
        <v>9</v>
      </c>
      <c r="C35" s="4">
        <f>'IMAGE SSP2-RCP2.6'!C35/K$14*K$13</f>
        <v>1.0792064825055045</v>
      </c>
      <c r="D35" s="4">
        <f>'IMAGE SSP2-RCP2.6'!D35/L$14*L$13</f>
        <v>0.54891278267203036</v>
      </c>
      <c r="E35" s="4">
        <f>'IMAGE SSP2-RCP2.6'!E35/M$14*M$13</f>
        <v>8.9244209238591651E-3</v>
      </c>
      <c r="F35" s="4">
        <f>'IMAGE SSP2-RCP2.6'!F35/N$14*N$13</f>
        <v>5.2039350466273225E-4</v>
      </c>
      <c r="G35" s="4">
        <f>'IMAGE SSP2-RCP2.6'!G35/O$14*O$13</f>
        <v>4.3201113813670046E-3</v>
      </c>
      <c r="H35" s="4">
        <f>'IMAGE SSP2-RCP2.6'!H35/P$14*P$13</f>
        <v>3.1204077145390555E-3</v>
      </c>
    </row>
    <row r="36" spans="1:8" x14ac:dyDescent="0.35">
      <c r="A36" s="30"/>
      <c r="B36" s="24" t="s">
        <v>10</v>
      </c>
      <c r="C36" s="4">
        <f>'IMAGE SSP2-RCP2.6'!C36/K$14*K$13</f>
        <v>0.3486673371261042</v>
      </c>
      <c r="D36" s="4">
        <f>'IMAGE SSP2-RCP2.6'!D36/L$14*L$13</f>
        <v>0.48774120614197203</v>
      </c>
      <c r="E36" s="4">
        <f>'IMAGE SSP2-RCP2.6'!E36/M$14*M$13</f>
        <v>0.25812638821398176</v>
      </c>
      <c r="F36" s="4">
        <f>'IMAGE SSP2-RCP2.6'!F36/N$14*N$13</f>
        <v>5.8246321442109944E-3</v>
      </c>
      <c r="G36" s="4">
        <f>'IMAGE SSP2-RCP2.6'!G36/O$14*O$13</f>
        <v>0.76508482839835679</v>
      </c>
      <c r="H36" s="4">
        <f>'IMAGE SSP2-RCP2.6'!H36/P$14*P$13</f>
        <v>8.9741564364149654E-3</v>
      </c>
    </row>
    <row r="37" spans="1:8" x14ac:dyDescent="0.35">
      <c r="A37" s="30"/>
      <c r="B37" s="24" t="s">
        <v>11</v>
      </c>
      <c r="C37" s="4">
        <f>'IMAGE SSP2-RCP2.6'!C37/K$14*K$13</f>
        <v>0.24902120067778355</v>
      </c>
      <c r="D37" s="4">
        <f>'IMAGE SSP2-RCP2.6'!D37/L$14*L$13</f>
        <v>0.67975558238554468</v>
      </c>
      <c r="E37" s="4">
        <f>'IMAGE SSP2-RCP2.6'!E37/M$14*M$13</f>
        <v>2.3261456617819257E-2</v>
      </c>
      <c r="F37" s="4">
        <f>'IMAGE SSP2-RCP2.6'!F37/N$14*N$13</f>
        <v>3.1271217363030342E-3</v>
      </c>
      <c r="G37" s="4">
        <f>'IMAGE SSP2-RCP2.6'!G37/O$14*O$13</f>
        <v>3.4645366011535943E-2</v>
      </c>
      <c r="H37" s="4">
        <f>'IMAGE SSP2-RCP2.6'!H37/P$14*P$13</f>
        <v>3.6179318469092567E-3</v>
      </c>
    </row>
    <row r="38" spans="1:8" x14ac:dyDescent="0.35">
      <c r="A38" s="30"/>
      <c r="B38" s="24" t="s">
        <v>12</v>
      </c>
      <c r="C38" s="4">
        <f>'IMAGE SSP2-RCP2.6'!C38/K$14*K$13</f>
        <v>-0.19432291530927953</v>
      </c>
      <c r="D38" s="4">
        <f>'IMAGE SSP2-RCP2.6'!D38/L$14*L$13</f>
        <v>0.70306471996404662</v>
      </c>
      <c r="E38" s="4">
        <f>'IMAGE SSP2-RCP2.6'!E38/M$14*M$13</f>
        <v>1.7036879887713956E-2</v>
      </c>
      <c r="F38" s="4">
        <f>'IMAGE SSP2-RCP2.6'!F38/N$14*N$13</f>
        <v>3.898468373715663E-3</v>
      </c>
      <c r="G38" s="4">
        <f>'IMAGE SSP2-RCP2.6'!G38/O$14*O$13</f>
        <v>7.6335161159644047E-3</v>
      </c>
      <c r="H38" s="4">
        <f>'IMAGE SSP2-RCP2.6'!H38/P$14*P$13</f>
        <v>3.2954931447522896E-3</v>
      </c>
    </row>
    <row r="39" spans="1:8" x14ac:dyDescent="0.35">
      <c r="A39" s="30"/>
      <c r="B39" s="24" t="s">
        <v>13</v>
      </c>
      <c r="C39" s="4">
        <f>'IMAGE SSP2-RCP2.6'!C39/K$14*K$13</f>
        <v>1.1640140130756114E-2</v>
      </c>
      <c r="D39" s="4">
        <f>'IMAGE SSP2-RCP2.6'!D39/L$14*L$13</f>
        <v>1.1668979857976434E-2</v>
      </c>
      <c r="E39" s="4">
        <f>'IMAGE SSP2-RCP2.6'!E39/M$14*M$13</f>
        <v>7.2971849335406139E-2</v>
      </c>
      <c r="F39" s="4">
        <f>'IMAGE SSP2-RCP2.6'!F39/N$14*N$13</f>
        <v>5.0222021793382777E-3</v>
      </c>
      <c r="G39" s="4">
        <f>'IMAGE SSP2-RCP2.6'!G39/O$14*O$13</f>
        <v>1.1578591402343408E-2</v>
      </c>
      <c r="H39" s="4">
        <f>'IMAGE SSP2-RCP2.6'!H39/P$14*P$13</f>
        <v>4.3071499891868875E-3</v>
      </c>
    </row>
    <row r="40" spans="1:8" x14ac:dyDescent="0.35">
      <c r="A40" s="30"/>
      <c r="B40" s="24" t="s">
        <v>14</v>
      </c>
      <c r="C40" s="4">
        <f>'IMAGE SSP2-RCP2.6'!C40/K$14*K$13</f>
        <v>0</v>
      </c>
      <c r="D40" s="4">
        <f>'IMAGE SSP2-RCP2.6'!D40/L$14*L$13</f>
        <v>0</v>
      </c>
      <c r="E40" s="4">
        <f>'IMAGE SSP2-RCP2.6'!E40/M$14*M$13</f>
        <v>0</v>
      </c>
      <c r="F40" s="4">
        <f>'IMAGE SSP2-RCP2.6'!F40/N$14*N$13</f>
        <v>0</v>
      </c>
      <c r="G40" s="4">
        <f>'IMAGE SSP2-RCP2.6'!G40/O$14*O$13</f>
        <v>0</v>
      </c>
      <c r="H40" s="4">
        <f>'IMAGE SSP2-RCP2.6'!H40/P$14*P$13</f>
        <v>0</v>
      </c>
    </row>
    <row r="41" spans="1:8" x14ac:dyDescent="0.35">
      <c r="A41" s="30"/>
      <c r="B41" s="24" t="s">
        <v>15</v>
      </c>
      <c r="C41" s="4">
        <f>'IMAGE SSP2-RCP2.6'!C41/K$14*K$13</f>
        <v>2.454493137638782</v>
      </c>
      <c r="D41" s="4">
        <f>'IMAGE SSP2-RCP2.6'!D41/L$14*L$13</f>
        <v>2.9144976359249504</v>
      </c>
      <c r="E41" s="4">
        <f>'IMAGE SSP2-RCP2.6'!E41/M$14*M$13</f>
        <v>0.38032099497878025</v>
      </c>
      <c r="F41" s="4">
        <f>'IMAGE SSP2-RCP2.6'!F41/N$14*N$13</f>
        <v>1.8392817938230707E-2</v>
      </c>
      <c r="G41" s="4">
        <f>'IMAGE SSP2-RCP2.6'!G41/O$14*O$13</f>
        <v>0.82326241330956751</v>
      </c>
      <c r="H41" s="4">
        <f>'IMAGE SSP2-RCP2.6'!H41/P$14*P$13</f>
        <v>2.3315139131802456E-2</v>
      </c>
    </row>
    <row r="42" spans="1:8" x14ac:dyDescent="0.35">
      <c r="A42" s="30" t="s">
        <v>23</v>
      </c>
      <c r="B42" s="24" t="s">
        <v>16</v>
      </c>
      <c r="C42" s="4">
        <f>'IMAGE SSP2-RCP2.6'!C42/K$14*K$13</f>
        <v>1.0332829962259993</v>
      </c>
      <c r="D42" s="4">
        <f>'IMAGE SSP2-RCP2.6'!D42/L$14*L$13</f>
        <v>0.5200997440466768</v>
      </c>
      <c r="E42" s="4">
        <f>'IMAGE SSP2-RCP2.6'!E42/M$14*M$13</f>
        <v>0</v>
      </c>
      <c r="F42" s="4">
        <f>'IMAGE SSP2-RCP2.6'!F42/N$14*N$13</f>
        <v>0</v>
      </c>
      <c r="G42" s="4">
        <f>'IMAGE SSP2-RCP2.6'!G42/O$14*O$13</f>
        <v>0</v>
      </c>
      <c r="H42" s="4">
        <f>'IMAGE SSP2-RCP2.6'!H42/P$14*P$13</f>
        <v>0</v>
      </c>
    </row>
    <row r="43" spans="1:8" x14ac:dyDescent="0.35">
      <c r="A43" s="30"/>
      <c r="B43" s="24" t="s">
        <v>9</v>
      </c>
      <c r="C43" s="4">
        <f>'IMAGE SSP2-RCP2.6'!C43/K$14*K$13</f>
        <v>0.63429099115947429</v>
      </c>
      <c r="D43" s="4">
        <f>'IMAGE SSP2-RCP2.6'!D43/L$14*L$13</f>
        <v>0.31944952512303904</v>
      </c>
      <c r="E43" s="4">
        <f>'IMAGE SSP2-RCP2.6'!E43/M$14*M$13</f>
        <v>2.8374567154469633E-4</v>
      </c>
      <c r="F43" s="4">
        <f>'IMAGE SSP2-RCP2.6'!F43/N$14*N$13</f>
        <v>1.6545544602592882E-5</v>
      </c>
      <c r="G43" s="4">
        <f>'IMAGE SSP2-RCP2.6'!G43/O$14*O$13</f>
        <v>1.3735489568591426E-4</v>
      </c>
      <c r="H43" s="4">
        <f>'IMAGE SSP2-RCP2.6'!H43/P$14*P$13</f>
        <v>9.921116339190589E-5</v>
      </c>
    </row>
    <row r="44" spans="1:8" x14ac:dyDescent="0.35">
      <c r="A44" s="30"/>
      <c r="B44" s="24" t="s">
        <v>10</v>
      </c>
      <c r="C44" s="4">
        <f>'IMAGE SSP2-RCP2.6'!C44/K$14*K$13</f>
        <v>0</v>
      </c>
      <c r="D44" s="4">
        <f>'IMAGE SSP2-RCP2.6'!D44/L$14*L$13</f>
        <v>0</v>
      </c>
      <c r="E44" s="4">
        <f>'IMAGE SSP2-RCP2.6'!E44/M$14*M$13</f>
        <v>0</v>
      </c>
      <c r="F44" s="4">
        <f>'IMAGE SSP2-RCP2.6'!F44/N$14*N$13</f>
        <v>0</v>
      </c>
      <c r="G44" s="4">
        <f>'IMAGE SSP2-RCP2.6'!G44/O$14*O$13</f>
        <v>0</v>
      </c>
      <c r="H44" s="4">
        <f>'IMAGE SSP2-RCP2.6'!H44/P$14*P$13</f>
        <v>0</v>
      </c>
    </row>
    <row r="45" spans="1:8" x14ac:dyDescent="0.35">
      <c r="A45" s="30"/>
      <c r="B45" s="24" t="s">
        <v>11</v>
      </c>
      <c r="C45" s="4">
        <f>'IMAGE SSP2-RCP2.6'!C45/K$14*K$13</f>
        <v>0.74839860463618924</v>
      </c>
      <c r="D45" s="4">
        <f>'IMAGE SSP2-RCP2.6'!D45/L$14*L$13</f>
        <v>1.945628103655944</v>
      </c>
      <c r="E45" s="4">
        <f>'IMAGE SSP2-RCP2.6'!E45/M$14*M$13</f>
        <v>6.5827377524794742E-2</v>
      </c>
      <c r="F45" s="4">
        <f>'IMAGE SSP2-RCP2.6'!F45/N$14*N$13</f>
        <v>8.8494124200253869E-3</v>
      </c>
      <c r="G45" s="4">
        <f>'IMAGE SSP2-RCP2.6'!G45/O$14*O$13</f>
        <v>9.8042595758127349E-2</v>
      </c>
      <c r="H45" s="4">
        <f>'IMAGE SSP2-RCP2.6'!H45/P$14*P$13</f>
        <v>1.0238351340518965E-2</v>
      </c>
    </row>
    <row r="46" spans="1:8" x14ac:dyDescent="0.35">
      <c r="A46" s="30"/>
      <c r="B46" s="24" t="s">
        <v>12</v>
      </c>
      <c r="C46" s="4">
        <f>'IMAGE SSP2-RCP2.6'!C46/K$14*K$13</f>
        <v>-0.59047815277485682</v>
      </c>
      <c r="D46" s="4">
        <f>'IMAGE SSP2-RCP2.6'!D46/L$14*L$13</f>
        <v>1.9691776980063491</v>
      </c>
      <c r="E46" s="4">
        <f>'IMAGE SSP2-RCP2.6'!E46/M$14*M$13</f>
        <v>4.8212506320606661E-2</v>
      </c>
      <c r="F46" s="4">
        <f>'IMAGE SSP2-RCP2.6'!F46/N$14*N$13</f>
        <v>1.1032239021887704E-2</v>
      </c>
      <c r="G46" s="4">
        <f>'IMAGE SSP2-RCP2.6'!G46/O$14*O$13</f>
        <v>2.1602015534240526E-2</v>
      </c>
      <c r="H46" s="4">
        <f>'IMAGE SSP2-RCP2.6'!H46/P$14*P$13</f>
        <v>9.3258850868264895E-3</v>
      </c>
    </row>
    <row r="47" spans="1:8" x14ac:dyDescent="0.35">
      <c r="A47" s="30"/>
      <c r="B47" s="24" t="s">
        <v>13</v>
      </c>
      <c r="C47" s="4">
        <f>'IMAGE SSP2-RCP2.6'!C47/K$14*K$13</f>
        <v>3.4632426763473306E-2</v>
      </c>
      <c r="D47" s="4">
        <f>'IMAGE SSP2-RCP2.6'!D47/L$14*L$13</f>
        <v>3.3873651470465498E-2</v>
      </c>
      <c r="E47" s="4">
        <f>'IMAGE SSP2-RCP2.6'!E47/M$14*M$13</f>
        <v>0.20650235081170729</v>
      </c>
      <c r="F47" s="4">
        <f>'IMAGE SSP2-RCP2.6'!F47/N$14*N$13</f>
        <v>1.4212282760138731E-2</v>
      </c>
      <c r="G47" s="4">
        <f>'IMAGE SSP2-RCP2.6'!G47/O$14*O$13</f>
        <v>3.2766147020369035E-2</v>
      </c>
      <c r="H47" s="4">
        <f>'IMAGE SSP2-RCP2.6'!H47/P$14*P$13</f>
        <v>1.2188763285654526E-2</v>
      </c>
    </row>
    <row r="48" spans="1:8" x14ac:dyDescent="0.35">
      <c r="A48" s="30"/>
      <c r="B48" s="24" t="s">
        <v>14</v>
      </c>
      <c r="C48" s="4">
        <f>'IMAGE SSP2-RCP2.6'!C48/K$14*K$13</f>
        <v>0</v>
      </c>
      <c r="D48" s="4">
        <f>'IMAGE SSP2-RCP2.6'!D48/L$14*L$13</f>
        <v>0</v>
      </c>
      <c r="E48" s="4">
        <f>'IMAGE SSP2-RCP2.6'!E48/M$14*M$13</f>
        <v>0</v>
      </c>
      <c r="F48" s="4">
        <f>'IMAGE SSP2-RCP2.6'!F48/N$14*N$13</f>
        <v>0</v>
      </c>
      <c r="G48" s="4">
        <f>'IMAGE SSP2-RCP2.6'!G48/O$14*O$13</f>
        <v>0</v>
      </c>
      <c r="H48" s="4">
        <f>'IMAGE SSP2-RCP2.6'!H48/P$14*P$13</f>
        <v>0</v>
      </c>
    </row>
    <row r="49" spans="1:8" x14ac:dyDescent="0.35">
      <c r="A49" s="30"/>
      <c r="B49" s="24" t="s">
        <v>15</v>
      </c>
      <c r="C49" s="4">
        <f>'IMAGE SSP2-RCP2.6'!C49/K$14*K$13</f>
        <v>1.7871247622921933</v>
      </c>
      <c r="D49" s="4">
        <f>'IMAGE SSP2-RCP2.6'!D49/L$14*L$13</f>
        <v>4.7514833431591779</v>
      </c>
      <c r="E49" s="4">
        <f>'IMAGE SSP2-RCP2.6'!E49/M$14*M$13</f>
        <v>0.32082598032865334</v>
      </c>
      <c r="F49" s="4">
        <f>'IMAGE SSP2-RCP2.6'!F49/N$14*N$13</f>
        <v>3.4110479746654411E-2</v>
      </c>
      <c r="G49" s="4">
        <f>'IMAGE SSP2-RCP2.6'!G49/O$14*O$13</f>
        <v>0.15254811320842282</v>
      </c>
      <c r="H49" s="4">
        <f>'IMAGE SSP2-RCP2.6'!H49/P$14*P$13</f>
        <v>3.1852210876391888E-2</v>
      </c>
    </row>
    <row r="50" spans="1:8" x14ac:dyDescent="0.35">
      <c r="A50" s="30" t="s">
        <v>24</v>
      </c>
      <c r="B50" s="24" t="s">
        <v>16</v>
      </c>
      <c r="C50" s="4">
        <f>'IMAGE SSP2-RCP2.6'!C50/K$14*K$13</f>
        <v>1.0332829962259993</v>
      </c>
      <c r="D50" s="4">
        <f>'IMAGE SSP2-RCP2.6'!D50/L$14*L$13</f>
        <v>0.5200997440466768</v>
      </c>
      <c r="E50" s="4">
        <f>'IMAGE SSP2-RCP2.6'!E50/M$14*M$13</f>
        <v>0</v>
      </c>
      <c r="F50" s="4">
        <f>'IMAGE SSP2-RCP2.6'!F50/N$14*N$13</f>
        <v>0</v>
      </c>
      <c r="G50" s="4">
        <f>'IMAGE SSP2-RCP2.6'!G50/O$14*O$13</f>
        <v>0</v>
      </c>
      <c r="H50" s="4">
        <f>'IMAGE SSP2-RCP2.6'!H50/P$14*P$13</f>
        <v>0</v>
      </c>
    </row>
    <row r="51" spans="1:8" x14ac:dyDescent="0.35">
      <c r="A51" s="30"/>
      <c r="B51" s="24" t="s">
        <v>9</v>
      </c>
      <c r="C51" s="4">
        <f>'IMAGE SSP2-RCP2.6'!C51/K$14*K$13</f>
        <v>0.63429099115947429</v>
      </c>
      <c r="D51" s="4">
        <f>'IMAGE SSP2-RCP2.6'!D51/L$14*L$13</f>
        <v>0.31944952512303904</v>
      </c>
      <c r="E51" s="4">
        <f>'IMAGE SSP2-RCP2.6'!E51/M$14*M$13</f>
        <v>2.8374567154469633E-4</v>
      </c>
      <c r="F51" s="4">
        <f>'IMAGE SSP2-RCP2.6'!F51/N$14*N$13</f>
        <v>1.6545544602592882E-5</v>
      </c>
      <c r="G51" s="4">
        <f>'IMAGE SSP2-RCP2.6'!G51/O$14*O$13</f>
        <v>1.3735489568591426E-4</v>
      </c>
      <c r="H51" s="4">
        <f>'IMAGE SSP2-RCP2.6'!H51/P$14*P$13</f>
        <v>9.921116339190589E-5</v>
      </c>
    </row>
    <row r="52" spans="1:8" x14ac:dyDescent="0.35">
      <c r="A52" s="30"/>
      <c r="B52" s="24" t="s">
        <v>10</v>
      </c>
      <c r="C52" s="4">
        <f>'IMAGE SSP2-RCP2.6'!C52/K$14*K$13</f>
        <v>0</v>
      </c>
      <c r="D52" s="4">
        <f>'IMAGE SSP2-RCP2.6'!D52/L$14*L$13</f>
        <v>0</v>
      </c>
      <c r="E52" s="4">
        <f>'IMAGE SSP2-RCP2.6'!E52/M$14*M$13</f>
        <v>0</v>
      </c>
      <c r="F52" s="4">
        <f>'IMAGE SSP2-RCP2.6'!F52/N$14*N$13</f>
        <v>0</v>
      </c>
      <c r="G52" s="4">
        <f>'IMAGE SSP2-RCP2.6'!G52/O$14*O$13</f>
        <v>0</v>
      </c>
      <c r="H52" s="4">
        <f>'IMAGE SSP2-RCP2.6'!H52/P$14*P$13</f>
        <v>0</v>
      </c>
    </row>
    <row r="53" spans="1:8" x14ac:dyDescent="0.35">
      <c r="A53" s="30"/>
      <c r="B53" s="24" t="s">
        <v>11</v>
      </c>
      <c r="C53" s="4">
        <f>'IMAGE SSP2-RCP2.6'!C53/K$14*K$13</f>
        <v>0.26449483593347517</v>
      </c>
      <c r="D53" s="4">
        <f>'IMAGE SSP2-RCP2.6'!D53/L$14*L$13</f>
        <v>0.68687053314505742</v>
      </c>
      <c r="E53" s="4">
        <f>'IMAGE SSP2-RCP2.6'!E53/M$14*M$13</f>
        <v>2.3233192067574616E-2</v>
      </c>
      <c r="F53" s="4">
        <f>'IMAGE SSP2-RCP2.6'!F53/N$14*N$13</f>
        <v>3.1233220305971953E-3</v>
      </c>
      <c r="G53" s="4">
        <f>'IMAGE SSP2-RCP2.6'!G53/O$14*O$13</f>
        <v>3.4603269091103762E-2</v>
      </c>
      <c r="H53" s="4">
        <f>'IMAGE SSP2-RCP2.6'!H53/P$14*P$13</f>
        <v>3.613535767241988E-3</v>
      </c>
    </row>
    <row r="54" spans="1:8" x14ac:dyDescent="0.35">
      <c r="A54" s="30"/>
      <c r="B54" s="24" t="s">
        <v>12</v>
      </c>
      <c r="C54" s="4">
        <f>'IMAGE SSP2-RCP2.6'!C54/K$14*K$13</f>
        <v>-0.2076930152369581</v>
      </c>
      <c r="D54" s="4">
        <f>'IMAGE SSP2-RCP2.6'!D54/L$14*L$13</f>
        <v>0.69536179249749774</v>
      </c>
      <c r="E54" s="4">
        <f>'IMAGE SSP2-RCP2.6'!E54/M$14*M$13</f>
        <v>1.7016178701390588E-2</v>
      </c>
      <c r="F54" s="4">
        <f>'IMAGE SSP2-RCP2.6'!F54/N$14*N$13</f>
        <v>3.8937314194897781E-3</v>
      </c>
      <c r="G54" s="4">
        <f>'IMAGE SSP2-RCP2.6'!G54/O$14*O$13</f>
        <v>7.6242407767907749E-3</v>
      </c>
      <c r="H54" s="4">
        <f>'IMAGE SSP2-RCP2.6'!H54/P$14*P$13</f>
        <v>3.2914888541740552E-3</v>
      </c>
    </row>
    <row r="55" spans="1:8" x14ac:dyDescent="0.35">
      <c r="A55" s="30"/>
      <c r="B55" s="24" t="s">
        <v>13</v>
      </c>
      <c r="C55" s="4">
        <f>'IMAGE SSP2-RCP2.6'!C55/K$14*K$13</f>
        <v>0.16003450078512754</v>
      </c>
      <c r="D55" s="4">
        <f>'IMAGE SSP2-RCP2.6'!D55/L$14*L$13</f>
        <v>0.15727999509632662</v>
      </c>
      <c r="E55" s="4">
        <f>'IMAGE SSP2-RCP2.6'!E55/M$14*M$13</f>
        <v>0.96367763712130072</v>
      </c>
      <c r="F55" s="4">
        <f>'IMAGE SSP2-RCP2.6'!F55/N$14*N$13</f>
        <v>6.6323986213980765E-2</v>
      </c>
      <c r="G55" s="4">
        <f>'IMAGE SSP2-RCP2.6'!G55/O$14*O$13</f>
        <v>0.15290868609505556</v>
      </c>
      <c r="H55" s="4">
        <f>'IMAGE SSP2-RCP2.6'!H55/P$14*P$13</f>
        <v>5.6880895333054453E-2</v>
      </c>
    </row>
    <row r="56" spans="1:8" x14ac:dyDescent="0.35">
      <c r="A56" s="30"/>
      <c r="B56" s="24" t="s">
        <v>14</v>
      </c>
      <c r="C56" s="4">
        <f>'IMAGE SSP2-RCP2.6'!C56/K$14*K$13</f>
        <v>0</v>
      </c>
      <c r="D56" s="4">
        <f>'IMAGE SSP2-RCP2.6'!D56/L$14*L$13</f>
        <v>0</v>
      </c>
      <c r="E56" s="4">
        <f>'IMAGE SSP2-RCP2.6'!E56/M$14*M$13</f>
        <v>0</v>
      </c>
      <c r="F56" s="4">
        <f>'IMAGE SSP2-RCP2.6'!F56/N$14*N$13</f>
        <v>0</v>
      </c>
      <c r="G56" s="4">
        <f>'IMAGE SSP2-RCP2.6'!G56/O$14*O$13</f>
        <v>0</v>
      </c>
      <c r="H56" s="4">
        <f>'IMAGE SSP2-RCP2.6'!H56/P$14*P$13</f>
        <v>0</v>
      </c>
    </row>
    <row r="57" spans="1:8" x14ac:dyDescent="0.35">
      <c r="A57" s="30"/>
      <c r="B57" s="24" t="s">
        <v>15</v>
      </c>
      <c r="C57" s="4">
        <f>'IMAGE SSP2-RCP2.6'!C57/K$14*K$13</f>
        <v>1.8114082051490321</v>
      </c>
      <c r="D57" s="4">
        <f>'IMAGE SSP2-RCP2.6'!D57/L$14*L$13</f>
        <v>2.3423162107653019</v>
      </c>
      <c r="E57" s="4">
        <f>'IMAGE SSP2-RCP2.6'!E57/M$14*M$13</f>
        <v>1.0042107535618103</v>
      </c>
      <c r="F57" s="4">
        <f>'IMAGE SSP2-RCP2.6'!F57/N$14*N$13</f>
        <v>7.3357585208670362E-2</v>
      </c>
      <c r="G57" s="4">
        <f>'IMAGE SSP2-RCP2.6'!G57/O$14*O$13</f>
        <v>0.19527355085863587</v>
      </c>
      <c r="H57" s="4">
        <f>'IMAGE SSP2-RCP2.6'!H57/P$14*P$13</f>
        <v>6.3885131117862384E-2</v>
      </c>
    </row>
    <row r="58" spans="1:8" x14ac:dyDescent="0.35">
      <c r="A58" s="30" t="s">
        <v>21</v>
      </c>
      <c r="B58" s="24" t="s">
        <v>16</v>
      </c>
      <c r="C58" s="4">
        <f>'IMAGE SSP2-RCP2.6'!C58/K$14*K$13</f>
        <v>1.0332829962259993</v>
      </c>
      <c r="D58" s="4">
        <f>'IMAGE SSP2-RCP2.6'!D58/L$14*L$13</f>
        <v>0.5200997440466768</v>
      </c>
      <c r="E58" s="4">
        <f>'IMAGE SSP2-RCP2.6'!E58/M$14*M$13</f>
        <v>0</v>
      </c>
      <c r="F58" s="4">
        <f>'IMAGE SSP2-RCP2.6'!F58/N$14*N$13</f>
        <v>0</v>
      </c>
      <c r="G58" s="4">
        <f>'IMAGE SSP2-RCP2.6'!G58/O$14*O$13</f>
        <v>0</v>
      </c>
      <c r="H58" s="4">
        <f>'IMAGE SSP2-RCP2.6'!H58/P$14*P$13</f>
        <v>0</v>
      </c>
    </row>
    <row r="59" spans="1:8" x14ac:dyDescent="0.35">
      <c r="A59" s="30"/>
      <c r="B59" s="24" t="s">
        <v>9</v>
      </c>
      <c r="C59" s="4">
        <f>'IMAGE SSP2-RCP2.6'!C59/K$14*K$13</f>
        <v>0.63429099115947429</v>
      </c>
      <c r="D59" s="4">
        <f>'IMAGE SSP2-RCP2.6'!D59/L$14*L$13</f>
        <v>0.31944952512303904</v>
      </c>
      <c r="E59" s="4">
        <f>'IMAGE SSP2-RCP2.6'!E59/M$14*M$13</f>
        <v>2.8374567154469633E-4</v>
      </c>
      <c r="F59" s="4">
        <f>'IMAGE SSP2-RCP2.6'!F59/N$14*N$13</f>
        <v>1.6545544602592882E-5</v>
      </c>
      <c r="G59" s="4">
        <f>'IMAGE SSP2-RCP2.6'!G59/O$14*O$13</f>
        <v>1.3735489568591426E-4</v>
      </c>
      <c r="H59" s="4">
        <f>'IMAGE SSP2-RCP2.6'!H59/P$14*P$13</f>
        <v>9.921116339190589E-5</v>
      </c>
    </row>
    <row r="60" spans="1:8" x14ac:dyDescent="0.35">
      <c r="A60" s="30"/>
      <c r="B60" s="24" t="s">
        <v>10</v>
      </c>
      <c r="C60" s="4">
        <f>'IMAGE SSP2-RCP2.6'!C60/K$14*K$13</f>
        <v>1.9086451001753619</v>
      </c>
      <c r="D60" s="4">
        <f>'IMAGE SSP2-RCP2.6'!D60/L$14*L$13</f>
        <v>1.8443172424545649</v>
      </c>
      <c r="E60" s="4">
        <f>'IMAGE SSP2-RCP2.6'!E60/M$14*M$13</f>
        <v>0.73046944072526687</v>
      </c>
      <c r="F60" s="4">
        <f>'IMAGE SSP2-RCP2.6'!F60/N$14*N$13</f>
        <v>1.6483071778330322E-2</v>
      </c>
      <c r="G60" s="4">
        <f>'IMAGE SSP2-RCP2.6'!G60/O$14*O$13</f>
        <v>2.1651063673669859</v>
      </c>
      <c r="H60" s="4">
        <f>'IMAGE SSP2-RCP2.6'!H60/P$14*P$13</f>
        <v>2.5395880980811782E-2</v>
      </c>
    </row>
    <row r="61" spans="1:8" x14ac:dyDescent="0.35">
      <c r="A61" s="30"/>
      <c r="B61" s="24" t="s">
        <v>11</v>
      </c>
      <c r="C61" s="4">
        <f>'IMAGE SSP2-RCP2.6'!C61/K$14*K$13</f>
        <v>0</v>
      </c>
      <c r="D61" s="4">
        <f>'IMAGE SSP2-RCP2.6'!D61/L$14*L$13</f>
        <v>0</v>
      </c>
      <c r="E61" s="4">
        <f>'IMAGE SSP2-RCP2.6'!E61/M$14*M$13</f>
        <v>0</v>
      </c>
      <c r="F61" s="4">
        <f>'IMAGE SSP2-RCP2.6'!F61/N$14*N$13</f>
        <v>0</v>
      </c>
      <c r="G61" s="4">
        <f>'IMAGE SSP2-RCP2.6'!G61/O$14*O$13</f>
        <v>0</v>
      </c>
      <c r="H61" s="4">
        <f>'IMAGE SSP2-RCP2.6'!H61/P$14*P$13</f>
        <v>0</v>
      </c>
    </row>
    <row r="62" spans="1:8" x14ac:dyDescent="0.35">
      <c r="A62" s="30"/>
      <c r="B62" s="24" t="s">
        <v>12</v>
      </c>
      <c r="C62" s="4">
        <f>'IMAGE SSP2-RCP2.6'!C62/K$14*K$13</f>
        <v>0</v>
      </c>
      <c r="D62" s="4">
        <f>'IMAGE SSP2-RCP2.6'!D62/L$14*L$13</f>
        <v>0</v>
      </c>
      <c r="E62" s="4">
        <f>'IMAGE SSP2-RCP2.6'!E62/M$14*M$13</f>
        <v>0</v>
      </c>
      <c r="F62" s="4">
        <f>'IMAGE SSP2-RCP2.6'!F62/N$14*N$13</f>
        <v>0</v>
      </c>
      <c r="G62" s="4">
        <f>'IMAGE SSP2-RCP2.6'!G62/O$14*O$13</f>
        <v>0</v>
      </c>
      <c r="H62" s="4">
        <f>'IMAGE SSP2-RCP2.6'!H62/P$14*P$13</f>
        <v>0</v>
      </c>
    </row>
    <row r="63" spans="1:8" x14ac:dyDescent="0.35">
      <c r="A63" s="30"/>
      <c r="B63" s="24" t="s">
        <v>13</v>
      </c>
      <c r="C63" s="4">
        <f>'IMAGE SSP2-RCP2.6'!C63/K$14*K$13</f>
        <v>0</v>
      </c>
      <c r="D63" s="4">
        <f>'IMAGE SSP2-RCP2.6'!D63/L$14*L$13</f>
        <v>0</v>
      </c>
      <c r="E63" s="4">
        <f>'IMAGE SSP2-RCP2.6'!E63/M$14*M$13</f>
        <v>0</v>
      </c>
      <c r="F63" s="4">
        <f>'IMAGE SSP2-RCP2.6'!F63/N$14*N$13</f>
        <v>0</v>
      </c>
      <c r="G63" s="4">
        <f>'IMAGE SSP2-RCP2.6'!G63/O$14*O$13</f>
        <v>0</v>
      </c>
      <c r="H63" s="4">
        <f>'IMAGE SSP2-RCP2.6'!H63/P$14*P$13</f>
        <v>0</v>
      </c>
    </row>
    <row r="64" spans="1:8" x14ac:dyDescent="0.35">
      <c r="A64" s="30"/>
      <c r="B64" s="24" t="s">
        <v>14</v>
      </c>
      <c r="C64" s="4">
        <f>'IMAGE SSP2-RCP2.6'!C64/K$14*K$13</f>
        <v>0</v>
      </c>
      <c r="D64" s="4">
        <f>'IMAGE SSP2-RCP2.6'!D64/L$14*L$13</f>
        <v>0</v>
      </c>
      <c r="E64" s="4">
        <f>'IMAGE SSP2-RCP2.6'!E64/M$14*M$13</f>
        <v>0</v>
      </c>
      <c r="F64" s="4">
        <f>'IMAGE SSP2-RCP2.6'!F64/N$14*N$13</f>
        <v>0</v>
      </c>
      <c r="G64" s="4">
        <f>'IMAGE SSP2-RCP2.6'!G64/O$14*O$13</f>
        <v>0</v>
      </c>
      <c r="H64" s="4">
        <f>'IMAGE SSP2-RCP2.6'!H64/P$14*P$13</f>
        <v>0</v>
      </c>
    </row>
    <row r="65" spans="1:8" x14ac:dyDescent="0.35">
      <c r="A65" s="30"/>
      <c r="B65" s="24" t="s">
        <v>15</v>
      </c>
      <c r="C65" s="4">
        <f>'IMAGE SSP2-RCP2.6'!C65/K$14*K$13</f>
        <v>3.5032169838427514</v>
      </c>
      <c r="D65" s="4">
        <f>'IMAGE SSP2-RCP2.6'!D65/L$14*L$13</f>
        <v>2.6471211324809847</v>
      </c>
      <c r="E65" s="4">
        <f>'IMAGE SSP2-RCP2.6'!E65/M$14*M$13</f>
        <v>0.73075318639681175</v>
      </c>
      <c r="F65" s="4">
        <f>'IMAGE SSP2-RCP2.6'!F65/N$14*N$13</f>
        <v>1.6499617322932918E-2</v>
      </c>
      <c r="G65" s="4">
        <f>'IMAGE SSP2-RCP2.6'!G65/O$14*O$13</f>
        <v>2.1652437222626721</v>
      </c>
      <c r="H65" s="4">
        <f>'IMAGE SSP2-RCP2.6'!H65/P$14*P$13</f>
        <v>2.5495092144203688E-2</v>
      </c>
    </row>
    <row r="66" spans="1:8" x14ac:dyDescent="0.35">
      <c r="A66" s="30" t="s">
        <v>22</v>
      </c>
      <c r="B66" s="24" t="s">
        <v>16</v>
      </c>
      <c r="C66" s="4">
        <f>'IMAGE SSP2-RCP2.6'!C66/K$14*K$13</f>
        <v>1.0332829962259993</v>
      </c>
      <c r="D66" s="4">
        <f>'IMAGE SSP2-RCP2.6'!D66/L$14*L$13</f>
        <v>0.5200997440466768</v>
      </c>
      <c r="E66" s="4">
        <f>'IMAGE SSP2-RCP2.6'!E66/M$14*M$13</f>
        <v>0</v>
      </c>
      <c r="F66" s="4">
        <f>'IMAGE SSP2-RCP2.6'!F66/N$14*N$13</f>
        <v>0</v>
      </c>
      <c r="G66" s="4">
        <f>'IMAGE SSP2-RCP2.6'!G66/O$14*O$13</f>
        <v>0</v>
      </c>
      <c r="H66" s="4">
        <f>'IMAGE SSP2-RCP2.6'!H66/P$14*P$13</f>
        <v>0</v>
      </c>
    </row>
    <row r="67" spans="1:8" x14ac:dyDescent="0.35">
      <c r="A67" s="30"/>
      <c r="B67" s="24" t="s">
        <v>9</v>
      </c>
      <c r="C67" s="4">
        <f>'IMAGE SSP2-RCP2.6'!C67/K$14*K$13</f>
        <v>0.63429099115947429</v>
      </c>
      <c r="D67" s="4">
        <f>'IMAGE SSP2-RCP2.6'!D67/L$14*L$13</f>
        <v>0.31944952512303904</v>
      </c>
      <c r="E67" s="4">
        <f>'IMAGE SSP2-RCP2.6'!E67/M$14*M$13</f>
        <v>2.8374567154469633E-4</v>
      </c>
      <c r="F67" s="4">
        <f>'IMAGE SSP2-RCP2.6'!F67/N$14*N$13</f>
        <v>1.6545544602592882E-5</v>
      </c>
      <c r="G67" s="4">
        <f>'IMAGE SSP2-RCP2.6'!G67/O$14*O$13</f>
        <v>1.3735489568591426E-4</v>
      </c>
      <c r="H67" s="4">
        <f>'IMAGE SSP2-RCP2.6'!H67/P$14*P$13</f>
        <v>9.921116339190589E-5</v>
      </c>
    </row>
    <row r="68" spans="1:8" x14ac:dyDescent="0.35">
      <c r="A68" s="30"/>
      <c r="B68" s="24" t="s">
        <v>10</v>
      </c>
      <c r="C68" s="4">
        <f>'IMAGE SSP2-RCP2.6'!C68/K$14*K$13</f>
        <v>7.2235026795179225E-3</v>
      </c>
      <c r="D68" s="4">
        <f>'IMAGE SSP2-RCP2.6'!D68/L$14*L$13</f>
        <v>0.49862288517677961</v>
      </c>
      <c r="E68" s="4">
        <f>'IMAGE SSP2-RCP2.6'!E68/M$14*M$13</f>
        <v>0.941899507010593</v>
      </c>
      <c r="F68" s="4">
        <f>'IMAGE SSP2-RCP2.6'!F68/N$14*N$13</f>
        <v>2.3085747361671051E-2</v>
      </c>
      <c r="G68" s="4">
        <f>'IMAGE SSP2-RCP2.6'!G68/O$14*O$13</f>
        <v>0.17964806351627</v>
      </c>
      <c r="H68" s="4">
        <f>'IMAGE SSP2-RCP2.6'!H68/P$14*P$13</f>
        <v>8.9054691072215884E-3</v>
      </c>
    </row>
    <row r="69" spans="1:8" x14ac:dyDescent="0.35">
      <c r="A69" s="30"/>
      <c r="B69" s="24" t="s">
        <v>11</v>
      </c>
      <c r="C69" s="4">
        <f>'IMAGE SSP2-RCP2.6'!C69/K$14*K$13</f>
        <v>0</v>
      </c>
      <c r="D69" s="4">
        <f>'IMAGE SSP2-RCP2.6'!D69/L$14*L$13</f>
        <v>0</v>
      </c>
      <c r="E69" s="4">
        <f>'IMAGE SSP2-RCP2.6'!E69/M$14*M$13</f>
        <v>0</v>
      </c>
      <c r="F69" s="4">
        <f>'IMAGE SSP2-RCP2.6'!F69/N$14*N$13</f>
        <v>0</v>
      </c>
      <c r="G69" s="4">
        <f>'IMAGE SSP2-RCP2.6'!G69/O$14*O$13</f>
        <v>0</v>
      </c>
      <c r="H69" s="4">
        <f>'IMAGE SSP2-RCP2.6'!H69/P$14*P$13</f>
        <v>0</v>
      </c>
    </row>
    <row r="70" spans="1:8" x14ac:dyDescent="0.35">
      <c r="A70" s="30"/>
      <c r="B70" s="24" t="s">
        <v>12</v>
      </c>
      <c r="C70" s="4">
        <f>'IMAGE SSP2-RCP2.6'!C70/K$14*K$13</f>
        <v>0</v>
      </c>
      <c r="D70" s="4">
        <f>'IMAGE SSP2-RCP2.6'!D70/L$14*L$13</f>
        <v>0</v>
      </c>
      <c r="E70" s="4">
        <f>'IMAGE SSP2-RCP2.6'!E70/M$14*M$13</f>
        <v>0</v>
      </c>
      <c r="F70" s="4">
        <f>'IMAGE SSP2-RCP2.6'!F70/N$14*N$13</f>
        <v>0</v>
      </c>
      <c r="G70" s="4">
        <f>'IMAGE SSP2-RCP2.6'!G70/O$14*O$13</f>
        <v>0</v>
      </c>
      <c r="H70" s="4">
        <f>'IMAGE SSP2-RCP2.6'!H70/P$14*P$13</f>
        <v>0</v>
      </c>
    </row>
    <row r="71" spans="1:8" x14ac:dyDescent="0.35">
      <c r="A71" s="30"/>
      <c r="B71" s="24" t="s">
        <v>13</v>
      </c>
      <c r="C71" s="4">
        <f>'IMAGE SSP2-RCP2.6'!C71/K$14*K$13</f>
        <v>0</v>
      </c>
      <c r="D71" s="4">
        <f>'IMAGE SSP2-RCP2.6'!D71/L$14*L$13</f>
        <v>0</v>
      </c>
      <c r="E71" s="4">
        <f>'IMAGE SSP2-RCP2.6'!E71/M$14*M$13</f>
        <v>0</v>
      </c>
      <c r="F71" s="4">
        <f>'IMAGE SSP2-RCP2.6'!F71/N$14*N$13</f>
        <v>0</v>
      </c>
      <c r="G71" s="4">
        <f>'IMAGE SSP2-RCP2.6'!G71/O$14*O$13</f>
        <v>0</v>
      </c>
      <c r="H71" s="4">
        <f>'IMAGE SSP2-RCP2.6'!H71/P$14*P$13</f>
        <v>0</v>
      </c>
    </row>
    <row r="72" spans="1:8" x14ac:dyDescent="0.35">
      <c r="A72" s="30"/>
      <c r="B72" s="24" t="s">
        <v>14</v>
      </c>
      <c r="C72" s="4">
        <f>'IMAGE SSP2-RCP2.6'!C72/K$14*K$13</f>
        <v>0</v>
      </c>
      <c r="D72" s="4">
        <f>'IMAGE SSP2-RCP2.6'!D72/L$14*L$13</f>
        <v>0</v>
      </c>
      <c r="E72" s="4">
        <f>'IMAGE SSP2-RCP2.6'!E72/M$14*M$13</f>
        <v>0</v>
      </c>
      <c r="F72" s="4">
        <f>'IMAGE SSP2-RCP2.6'!F72/N$14*N$13</f>
        <v>0</v>
      </c>
      <c r="G72" s="4">
        <f>'IMAGE SSP2-RCP2.6'!G72/O$14*O$13</f>
        <v>0</v>
      </c>
      <c r="H72" s="4">
        <f>'IMAGE SSP2-RCP2.6'!H72/P$14*P$13</f>
        <v>0</v>
      </c>
    </row>
    <row r="73" spans="1:8" x14ac:dyDescent="0.35">
      <c r="A73" s="30"/>
      <c r="B73" s="24" t="s">
        <v>15</v>
      </c>
      <c r="C73" s="4">
        <f>'IMAGE SSP2-RCP2.6'!C73/K$14*K$13</f>
        <v>1.6017953863469057</v>
      </c>
      <c r="D73" s="4">
        <f>'IMAGE SSP2-RCP2.6'!D73/L$14*L$13</f>
        <v>1.3014267752031992</v>
      </c>
      <c r="E73" s="4">
        <f>'IMAGE SSP2-RCP2.6'!E73/M$14*M$13</f>
        <v>0.94218325268213787</v>
      </c>
      <c r="F73" s="4">
        <f>'IMAGE SSP2-RCP2.6'!F73/N$14*N$13</f>
        <v>2.3102292906273643E-2</v>
      </c>
      <c r="G73" s="4">
        <f>'IMAGE SSP2-RCP2.6'!G73/O$14*O$13</f>
        <v>0.17978541841195589</v>
      </c>
      <c r="H73" s="4">
        <f>'IMAGE SSP2-RCP2.6'!H73/P$14*P$13</f>
        <v>9.0046802706134944E-3</v>
      </c>
    </row>
  </sheetData>
  <mergeCells count="10">
    <mergeCell ref="A42:A49"/>
    <mergeCell ref="A50:A57"/>
    <mergeCell ref="A58:A65"/>
    <mergeCell ref="A66:A73"/>
    <mergeCell ref="K1:P1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Fig 3</vt:lpstr>
      <vt:lpstr>REMIND SSP2-RCP2.6</vt:lpstr>
      <vt:lpstr>REMIND SSP1-RCP1.9</vt:lpstr>
      <vt:lpstr>REMIND SSP2-NPi</vt:lpstr>
      <vt:lpstr>IMAGE SSP2-RCP2.6</vt:lpstr>
      <vt:lpstr>REMIND SSP2-RCP2.6 (GDP)</vt:lpstr>
      <vt:lpstr>REMIND SSP1-RCP1.9 (GDP)</vt:lpstr>
      <vt:lpstr>REMIND SPP2-NPi (GDP)</vt:lpstr>
      <vt:lpstr>IMAGE SSP2-RCP2.6 (GDP)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2015-06-05T18:19:34Z</dcterms:created>
  <dcterms:modified xsi:type="dcterms:W3CDTF">2026-04-24T09:11:22Z</dcterms:modified>
</cp:coreProperties>
</file>