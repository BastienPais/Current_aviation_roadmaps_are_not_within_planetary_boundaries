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.pais\Documents\Articles\0_Article 1\Submit\Nature Com\Supporting code\"/>
    </mc:Choice>
  </mc:AlternateContent>
  <xr:revisionPtr revIDLastSave="0" documentId="13_ncr:1_{1859299E-E374-4E7A-861B-E24AAF6BADD5}" xr6:coauthVersionLast="47" xr6:coauthVersionMax="47" xr10:uidLastSave="{00000000-0000-0000-0000-000000000000}"/>
  <bookViews>
    <workbookView xWindow="-120" yWindow="-120" windowWidth="29040" windowHeight="15840" xr2:uid="{1CC38AC6-4FEF-4542-A868-4AEB366938EA}"/>
  </bookViews>
  <sheets>
    <sheet name="Anne-Quanti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4" i="1"/>
  <c r="C85" i="1"/>
  <c r="C82" i="1"/>
  <c r="E82" i="1" s="1"/>
  <c r="F82" i="1" s="1"/>
  <c r="E81" i="1"/>
  <c r="F81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3" i="1"/>
  <c r="F83" i="1" s="1"/>
  <c r="E84" i="1"/>
  <c r="F84" i="1" s="1"/>
  <c r="E85" i="1"/>
  <c r="F85" i="1" s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2" i="1"/>
</calcChain>
</file>

<file path=xl/sharedStrings.xml><?xml version="1.0" encoding="utf-8"?>
<sst xmlns="http://schemas.openxmlformats.org/spreadsheetml/2006/main" count="6" uniqueCount="6">
  <si>
    <t>Year</t>
  </si>
  <si>
    <t>TgCO2</t>
  </si>
  <si>
    <t>kgCO2</t>
  </si>
  <si>
    <t>RF (W/m²)</t>
  </si>
  <si>
    <t>kg fuel</t>
  </si>
  <si>
    <t>MJ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</si>
</sst>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20C3-103B-4BC3-BA64-036D23E2D192}">
  <dimension ref="A1:F112"/>
  <sheetViews>
    <sheetView tabSelected="1" topLeftCell="A85" workbookViewId="0">
      <selection activeCell="D2" sqref="D2:D11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1940</v>
      </c>
      <c r="B2">
        <v>24</v>
      </c>
      <c r="C2" s="1">
        <v>24000000000</v>
      </c>
      <c r="D2">
        <v>3.9988483063758601E-5</v>
      </c>
      <c r="E2" s="1">
        <f>C2/3.16</f>
        <v>7594936708.8607588</v>
      </c>
      <c r="F2" s="1">
        <f>43.15*E2</f>
        <v>327721518987.34174</v>
      </c>
    </row>
    <row r="3" spans="1:6" x14ac:dyDescent="0.25">
      <c r="A3">
        <v>1941</v>
      </c>
      <c r="B3">
        <v>30</v>
      </c>
      <c r="C3" s="1">
        <v>30000000000</v>
      </c>
      <c r="D3">
        <v>8.7660095653039117E-5</v>
      </c>
      <c r="E3" s="1">
        <f t="shared" ref="E3:E66" si="0">C3/3.16</f>
        <v>9493670886.0759487</v>
      </c>
      <c r="F3" s="1">
        <f t="shared" ref="F3:F66" si="1">43.15*E3</f>
        <v>409651898734.17719</v>
      </c>
    </row>
    <row r="4" spans="1:6" x14ac:dyDescent="0.25">
      <c r="A4">
        <v>1942</v>
      </c>
      <c r="B4">
        <v>34</v>
      </c>
      <c r="C4" s="1">
        <v>34000000000</v>
      </c>
      <c r="D4">
        <v>1.395164903012884E-4</v>
      </c>
      <c r="E4" s="1">
        <f t="shared" si="0"/>
        <v>10759493670.886076</v>
      </c>
      <c r="F4" s="1">
        <f t="shared" si="1"/>
        <v>464272151898.73419</v>
      </c>
    </row>
    <row r="5" spans="1:6" x14ac:dyDescent="0.25">
      <c r="A5">
        <v>1943</v>
      </c>
      <c r="B5">
        <v>38</v>
      </c>
      <c r="C5" s="1">
        <v>38000000000</v>
      </c>
      <c r="D5">
        <v>1.956005465350986E-4</v>
      </c>
      <c r="E5" s="1">
        <f t="shared" si="0"/>
        <v>12025316455.696201</v>
      </c>
      <c r="F5" s="1">
        <f t="shared" si="1"/>
        <v>518892405063.29108</v>
      </c>
    </row>
    <row r="6" spans="1:6" x14ac:dyDescent="0.25">
      <c r="A6">
        <v>1944</v>
      </c>
      <c r="B6">
        <v>40</v>
      </c>
      <c r="C6" s="1">
        <v>40000000000</v>
      </c>
      <c r="D6">
        <v>2.5260173002675419E-4</v>
      </c>
      <c r="E6" s="1">
        <f t="shared" si="0"/>
        <v>12658227848.101265</v>
      </c>
      <c r="F6" s="1">
        <f t="shared" si="1"/>
        <v>546202531645.56958</v>
      </c>
    </row>
    <row r="7" spans="1:6" x14ac:dyDescent="0.25">
      <c r="A7">
        <v>1945</v>
      </c>
      <c r="B7">
        <v>44</v>
      </c>
      <c r="C7" s="1">
        <v>44000000000</v>
      </c>
      <c r="D7">
        <v>3.1405065400348832E-4</v>
      </c>
      <c r="E7" s="1">
        <f t="shared" si="0"/>
        <v>13924050632.911392</v>
      </c>
      <c r="F7" s="1">
        <f t="shared" si="1"/>
        <v>600822784810.12659</v>
      </c>
    </row>
    <row r="8" spans="1:6" x14ac:dyDescent="0.25">
      <c r="A8">
        <v>1946</v>
      </c>
      <c r="B8">
        <v>49</v>
      </c>
      <c r="C8" s="1">
        <v>49000000000</v>
      </c>
      <c r="D8">
        <v>3.8157226098431012E-4</v>
      </c>
      <c r="E8" s="1">
        <f t="shared" si="0"/>
        <v>15506329113.924049</v>
      </c>
      <c r="F8" s="1">
        <f t="shared" si="1"/>
        <v>669098101265.82275</v>
      </c>
    </row>
    <row r="9" spans="1:6" x14ac:dyDescent="0.25">
      <c r="A9">
        <v>1947</v>
      </c>
      <c r="B9">
        <v>56</v>
      </c>
      <c r="C9" s="1">
        <v>56000000000</v>
      </c>
      <c r="D9">
        <v>4.5835908196648929E-4</v>
      </c>
      <c r="E9" s="1">
        <f t="shared" si="0"/>
        <v>17721518987.34177</v>
      </c>
      <c r="F9" s="1">
        <f t="shared" si="1"/>
        <v>764683544303.79736</v>
      </c>
    </row>
    <row r="10" spans="1:6" x14ac:dyDescent="0.25">
      <c r="A10">
        <v>1948</v>
      </c>
      <c r="B10">
        <v>59</v>
      </c>
      <c r="C10" s="1">
        <v>59000000000</v>
      </c>
      <c r="D10">
        <v>5.3743050053490051E-4</v>
      </c>
      <c r="E10" s="1">
        <f t="shared" si="0"/>
        <v>18670886075.949368</v>
      </c>
      <c r="F10" s="1">
        <f t="shared" si="1"/>
        <v>805648734177.21521</v>
      </c>
    </row>
    <row r="11" spans="1:6" x14ac:dyDescent="0.25">
      <c r="A11">
        <v>1949</v>
      </c>
      <c r="B11">
        <v>64</v>
      </c>
      <c r="C11" s="1">
        <v>64000000000</v>
      </c>
      <c r="D11">
        <v>6.2223520422552653E-4</v>
      </c>
      <c r="E11" s="1">
        <f t="shared" si="0"/>
        <v>20253164556.962025</v>
      </c>
      <c r="F11" s="1">
        <f t="shared" si="1"/>
        <v>873924050632.91138</v>
      </c>
    </row>
    <row r="12" spans="1:6" x14ac:dyDescent="0.25">
      <c r="A12">
        <v>1950</v>
      </c>
      <c r="B12">
        <v>69</v>
      </c>
      <c r="C12" s="1">
        <v>69000000000</v>
      </c>
      <c r="D12">
        <v>7.1266588932190043E-4</v>
      </c>
      <c r="E12" s="1">
        <f t="shared" si="0"/>
        <v>21835443037.974682</v>
      </c>
      <c r="F12" s="1">
        <f t="shared" si="1"/>
        <v>942199367088.60754</v>
      </c>
    </row>
    <row r="13" spans="1:6" x14ac:dyDescent="0.25">
      <c r="A13">
        <v>1951</v>
      </c>
      <c r="B13">
        <v>75</v>
      </c>
      <c r="C13" s="1">
        <v>75000000000</v>
      </c>
      <c r="D13">
        <v>8.102914689840599E-4</v>
      </c>
      <c r="E13" s="1">
        <f t="shared" si="0"/>
        <v>23734177215.189873</v>
      </c>
      <c r="F13" s="1">
        <f t="shared" si="1"/>
        <v>1024129746835.443</v>
      </c>
    </row>
    <row r="14" spans="1:6" x14ac:dyDescent="0.25">
      <c r="A14">
        <v>1952</v>
      </c>
      <c r="B14">
        <v>79</v>
      </c>
      <c r="C14" s="1">
        <v>79000000000</v>
      </c>
      <c r="D14">
        <v>9.1159506694585073E-4</v>
      </c>
      <c r="E14" s="1">
        <f t="shared" si="0"/>
        <v>25000000000</v>
      </c>
      <c r="F14" s="1">
        <f t="shared" si="1"/>
        <v>1078750000000</v>
      </c>
    </row>
    <row r="15" spans="1:6" x14ac:dyDescent="0.25">
      <c r="A15">
        <v>1953</v>
      </c>
      <c r="B15">
        <v>87</v>
      </c>
      <c r="C15" s="1">
        <v>87000000000</v>
      </c>
      <c r="D15">
        <v>1.023272281528949E-3</v>
      </c>
      <c r="E15" s="1">
        <f t="shared" si="0"/>
        <v>27531645569.620251</v>
      </c>
      <c r="F15" s="1">
        <f t="shared" si="1"/>
        <v>1187990506329.1138</v>
      </c>
    </row>
    <row r="16" spans="1:6" x14ac:dyDescent="0.25">
      <c r="A16">
        <v>1954</v>
      </c>
      <c r="B16">
        <v>95</v>
      </c>
      <c r="C16" s="1">
        <v>95000000000</v>
      </c>
      <c r="D16">
        <v>1.144954310103734E-3</v>
      </c>
      <c r="E16" s="1">
        <f t="shared" si="0"/>
        <v>30063291139.240505</v>
      </c>
      <c r="F16" s="1">
        <f t="shared" si="1"/>
        <v>1297231012658.2278</v>
      </c>
    </row>
    <row r="17" spans="1:6" x14ac:dyDescent="0.25">
      <c r="A17">
        <v>1955</v>
      </c>
      <c r="B17">
        <v>103</v>
      </c>
      <c r="C17" s="1">
        <v>103000000000</v>
      </c>
      <c r="D17">
        <v>1.276329640717616E-3</v>
      </c>
      <c r="E17" s="1">
        <f t="shared" si="0"/>
        <v>32594936708.86076</v>
      </c>
      <c r="F17" s="1">
        <f t="shared" si="1"/>
        <v>1406471518987.3418</v>
      </c>
    </row>
    <row r="18" spans="1:6" x14ac:dyDescent="0.25">
      <c r="A18">
        <v>1956</v>
      </c>
      <c r="B18">
        <v>111</v>
      </c>
      <c r="C18" s="1">
        <v>111000000000</v>
      </c>
      <c r="D18">
        <v>1.417132275191484E-3</v>
      </c>
      <c r="E18" s="1">
        <f t="shared" si="0"/>
        <v>35126582278.48101</v>
      </c>
      <c r="F18" s="1">
        <f t="shared" si="1"/>
        <v>1515712025316.4556</v>
      </c>
    </row>
    <row r="19" spans="1:6" x14ac:dyDescent="0.25">
      <c r="A19">
        <v>1957</v>
      </c>
      <c r="B19">
        <v>117</v>
      </c>
      <c r="C19" s="1">
        <v>117000000000</v>
      </c>
      <c r="D19">
        <v>1.5638010888284911E-3</v>
      </c>
      <c r="E19" s="1">
        <f t="shared" si="0"/>
        <v>37025316455.696198</v>
      </c>
      <c r="F19" s="1">
        <f t="shared" si="1"/>
        <v>1597642405063.2908</v>
      </c>
    </row>
    <row r="20" spans="1:6" x14ac:dyDescent="0.25">
      <c r="A20">
        <v>1958</v>
      </c>
      <c r="B20">
        <v>127</v>
      </c>
      <c r="C20" s="1">
        <v>127000000000</v>
      </c>
      <c r="D20">
        <v>1.722991075159183E-3</v>
      </c>
      <c r="E20" s="1">
        <f t="shared" si="0"/>
        <v>40189873417.721519</v>
      </c>
      <c r="F20" s="1">
        <f t="shared" si="1"/>
        <v>1734193037974.6836</v>
      </c>
    </row>
    <row r="21" spans="1:6" x14ac:dyDescent="0.25">
      <c r="A21">
        <v>1959</v>
      </c>
      <c r="B21">
        <v>141</v>
      </c>
      <c r="C21" s="1">
        <v>141000000000</v>
      </c>
      <c r="D21">
        <v>1.900959928363984E-3</v>
      </c>
      <c r="E21" s="1">
        <f t="shared" si="0"/>
        <v>44620253164.556961</v>
      </c>
      <c r="F21" s="1">
        <f t="shared" si="1"/>
        <v>1925363924050.6328</v>
      </c>
    </row>
    <row r="22" spans="1:6" x14ac:dyDescent="0.25">
      <c r="A22">
        <v>1960</v>
      </c>
      <c r="B22">
        <v>154</v>
      </c>
      <c r="C22" s="1">
        <v>154000000000</v>
      </c>
      <c r="D22">
        <v>2.0953117501997429E-3</v>
      </c>
      <c r="E22" s="1">
        <f t="shared" si="0"/>
        <v>48734177215.189873</v>
      </c>
      <c r="F22" s="1">
        <f t="shared" si="1"/>
        <v>2102879746835.4429</v>
      </c>
    </row>
    <row r="23" spans="1:6" x14ac:dyDescent="0.25">
      <c r="A23">
        <v>1961</v>
      </c>
      <c r="B23">
        <v>168</v>
      </c>
      <c r="C23" s="1">
        <v>168000000000</v>
      </c>
      <c r="D23">
        <v>2.3071950687515081E-3</v>
      </c>
      <c r="E23" s="1">
        <f t="shared" si="0"/>
        <v>53164556962.025314</v>
      </c>
      <c r="F23" s="1">
        <f t="shared" si="1"/>
        <v>2294050632911.3921</v>
      </c>
    </row>
    <row r="24" spans="1:6" x14ac:dyDescent="0.25">
      <c r="A24">
        <v>1962</v>
      </c>
      <c r="B24">
        <v>181</v>
      </c>
      <c r="C24" s="1">
        <v>181000000000</v>
      </c>
      <c r="D24">
        <v>2.534406470935243E-3</v>
      </c>
      <c r="E24" s="1">
        <f t="shared" si="0"/>
        <v>57278481012.658226</v>
      </c>
      <c r="F24" s="1">
        <f t="shared" si="1"/>
        <v>2471566455696.2021</v>
      </c>
    </row>
    <row r="25" spans="1:6" x14ac:dyDescent="0.25">
      <c r="A25">
        <v>1963</v>
      </c>
      <c r="B25">
        <v>190</v>
      </c>
      <c r="C25" s="1">
        <v>190000000000</v>
      </c>
      <c r="D25">
        <v>2.7699205615695829E-3</v>
      </c>
      <c r="E25" s="1">
        <f t="shared" si="0"/>
        <v>60126582278.48101</v>
      </c>
      <c r="F25" s="1">
        <f t="shared" si="1"/>
        <v>2594462025316.4556</v>
      </c>
    </row>
    <row r="26" spans="1:6" x14ac:dyDescent="0.25">
      <c r="A26">
        <v>1964</v>
      </c>
      <c r="B26">
        <v>199</v>
      </c>
      <c r="C26" s="1">
        <v>199000000000</v>
      </c>
      <c r="D26">
        <v>3.0138041277728558E-3</v>
      </c>
      <c r="E26" s="1">
        <f t="shared" si="0"/>
        <v>62974683544.303795</v>
      </c>
      <c r="F26" s="1">
        <f t="shared" si="1"/>
        <v>2717357594936.7085</v>
      </c>
    </row>
    <row r="27" spans="1:6" x14ac:dyDescent="0.25">
      <c r="A27">
        <v>1965</v>
      </c>
      <c r="B27">
        <v>215</v>
      </c>
      <c r="C27" s="1">
        <v>215000000000</v>
      </c>
      <c r="D27">
        <v>3.277747376334717E-3</v>
      </c>
      <c r="E27" s="1">
        <f t="shared" si="0"/>
        <v>68037974683.544304</v>
      </c>
      <c r="F27" s="1">
        <f t="shared" si="1"/>
        <v>2935838607594.9365</v>
      </c>
    </row>
    <row r="28" spans="1:6" x14ac:dyDescent="0.25">
      <c r="A28">
        <v>1966</v>
      </c>
      <c r="B28">
        <v>234</v>
      </c>
      <c r="C28" s="1">
        <v>234000000000</v>
      </c>
      <c r="D28">
        <v>3.5660783337460459E-3</v>
      </c>
      <c r="E28" s="1">
        <f t="shared" si="0"/>
        <v>74050632911.392395</v>
      </c>
      <c r="F28" s="1">
        <f t="shared" si="1"/>
        <v>3195284810126.5815</v>
      </c>
    </row>
    <row r="29" spans="1:6" x14ac:dyDescent="0.25">
      <c r="A29">
        <v>1967</v>
      </c>
      <c r="B29">
        <v>269</v>
      </c>
      <c r="C29" s="1">
        <v>269000000000</v>
      </c>
      <c r="D29">
        <v>3.9045807768700669E-3</v>
      </c>
      <c r="E29" s="1">
        <f t="shared" si="0"/>
        <v>85126582278.481003</v>
      </c>
      <c r="F29" s="1">
        <f t="shared" si="1"/>
        <v>3673212025316.4551</v>
      </c>
    </row>
    <row r="30" spans="1:6" x14ac:dyDescent="0.25">
      <c r="A30">
        <v>1968</v>
      </c>
      <c r="B30">
        <v>310</v>
      </c>
      <c r="C30" s="1">
        <v>310000000000</v>
      </c>
      <c r="D30">
        <v>4.3009732672116231E-3</v>
      </c>
      <c r="E30" s="1">
        <f t="shared" si="0"/>
        <v>98101265822.784805</v>
      </c>
      <c r="F30" s="1">
        <f t="shared" si="1"/>
        <v>4233069620253.1641</v>
      </c>
    </row>
    <row r="31" spans="1:6" x14ac:dyDescent="0.25">
      <c r="A31">
        <v>1969</v>
      </c>
      <c r="B31">
        <v>319</v>
      </c>
      <c r="C31" s="1">
        <v>319000000000</v>
      </c>
      <c r="D31">
        <v>4.6995128153022869E-3</v>
      </c>
      <c r="E31" s="1">
        <f t="shared" si="0"/>
        <v>100949367088.60759</v>
      </c>
      <c r="F31" s="1">
        <f t="shared" si="1"/>
        <v>4355965189873.4175</v>
      </c>
    </row>
    <row r="32" spans="1:6" x14ac:dyDescent="0.25">
      <c r="A32">
        <v>1970</v>
      </c>
      <c r="B32">
        <v>321</v>
      </c>
      <c r="C32" s="1">
        <v>321000000000</v>
      </c>
      <c r="D32">
        <v>5.089573189081484E-3</v>
      </c>
      <c r="E32" s="1">
        <f t="shared" si="0"/>
        <v>101582278481.01265</v>
      </c>
      <c r="F32" s="1">
        <f t="shared" si="1"/>
        <v>4383275316455.6958</v>
      </c>
    </row>
    <row r="33" spans="1:6" x14ac:dyDescent="0.25">
      <c r="A33">
        <v>1971</v>
      </c>
      <c r="B33">
        <v>332</v>
      </c>
      <c r="C33" s="1">
        <v>332000000000</v>
      </c>
      <c r="D33">
        <v>5.487607318126613E-3</v>
      </c>
      <c r="E33" s="1">
        <f t="shared" si="0"/>
        <v>105063291139.24051</v>
      </c>
      <c r="F33" s="1">
        <f t="shared" si="1"/>
        <v>4533481012658.2275</v>
      </c>
    </row>
    <row r="34" spans="1:6" x14ac:dyDescent="0.25">
      <c r="A34">
        <v>1972</v>
      </c>
      <c r="B34">
        <v>353</v>
      </c>
      <c r="C34" s="1">
        <v>353000000000</v>
      </c>
      <c r="D34">
        <v>5.9105612392874067E-3</v>
      </c>
      <c r="E34" s="1">
        <f t="shared" si="0"/>
        <v>111708860759.49367</v>
      </c>
      <c r="F34" s="1">
        <f t="shared" si="1"/>
        <v>4820237341772.1514</v>
      </c>
    </row>
    <row r="35" spans="1:6" x14ac:dyDescent="0.25">
      <c r="A35">
        <v>1973</v>
      </c>
      <c r="B35">
        <v>361</v>
      </c>
      <c r="C35" s="1">
        <v>361000000000</v>
      </c>
      <c r="D35">
        <v>6.336055182321592E-3</v>
      </c>
      <c r="E35" s="1">
        <f t="shared" si="0"/>
        <v>114240506329.11392</v>
      </c>
      <c r="F35" s="1">
        <f t="shared" si="1"/>
        <v>4929477848101.2656</v>
      </c>
    </row>
    <row r="36" spans="1:6" x14ac:dyDescent="0.25">
      <c r="A36">
        <v>1974</v>
      </c>
      <c r="B36">
        <v>353</v>
      </c>
      <c r="C36" s="1">
        <v>353000000000</v>
      </c>
      <c r="D36">
        <v>6.7380849773100446E-3</v>
      </c>
      <c r="E36" s="1">
        <f t="shared" si="0"/>
        <v>111708860759.49367</v>
      </c>
      <c r="F36" s="1">
        <f t="shared" si="1"/>
        <v>4820237341772.1514</v>
      </c>
    </row>
    <row r="37" spans="1:6" x14ac:dyDescent="0.25">
      <c r="A37">
        <v>1975</v>
      </c>
      <c r="B37">
        <v>353</v>
      </c>
      <c r="C37" s="1">
        <v>353000000000</v>
      </c>
      <c r="D37">
        <v>7.1319938110108944E-3</v>
      </c>
      <c r="E37" s="1">
        <f t="shared" si="0"/>
        <v>111708860759.49367</v>
      </c>
      <c r="F37" s="1">
        <f t="shared" si="1"/>
        <v>4820237341772.1514</v>
      </c>
    </row>
    <row r="38" spans="1:6" x14ac:dyDescent="0.25">
      <c r="A38">
        <v>1976</v>
      </c>
      <c r="B38">
        <v>354</v>
      </c>
      <c r="C38" s="1">
        <v>354000000000</v>
      </c>
      <c r="D38">
        <v>7.520322086337676E-3</v>
      </c>
      <c r="E38" s="1">
        <f t="shared" si="0"/>
        <v>112025316455.6962</v>
      </c>
      <c r="F38" s="1">
        <f t="shared" si="1"/>
        <v>4833892405063.291</v>
      </c>
    </row>
    <row r="39" spans="1:6" x14ac:dyDescent="0.25">
      <c r="A39">
        <v>1977</v>
      </c>
      <c r="B39">
        <v>372</v>
      </c>
      <c r="C39" s="1">
        <v>372000000000</v>
      </c>
      <c r="D39">
        <v>7.9319703018110553E-3</v>
      </c>
      <c r="E39" s="1">
        <f t="shared" si="0"/>
        <v>117721518987.34177</v>
      </c>
      <c r="F39" s="1">
        <f t="shared" si="1"/>
        <v>5079683544303.7969</v>
      </c>
    </row>
    <row r="40" spans="1:6" x14ac:dyDescent="0.25">
      <c r="A40">
        <v>1978</v>
      </c>
      <c r="B40">
        <v>388</v>
      </c>
      <c r="C40" s="1">
        <v>388000000000</v>
      </c>
      <c r="D40">
        <v>8.3624746418156891E-3</v>
      </c>
      <c r="E40" s="1">
        <f t="shared" si="0"/>
        <v>122784810126.58228</v>
      </c>
      <c r="F40" s="1">
        <f t="shared" si="1"/>
        <v>5298164556962.0254</v>
      </c>
    </row>
    <row r="41" spans="1:6" x14ac:dyDescent="0.25">
      <c r="A41">
        <v>1979</v>
      </c>
      <c r="B41">
        <v>399</v>
      </c>
      <c r="C41" s="1">
        <v>399000000000</v>
      </c>
      <c r="D41">
        <v>8.8027789130878907E-3</v>
      </c>
      <c r="E41" s="1">
        <f t="shared" si="0"/>
        <v>126265822784.81012</v>
      </c>
      <c r="F41" s="1">
        <f t="shared" si="1"/>
        <v>5448370253164.5566</v>
      </c>
    </row>
    <row r="42" spans="1:6" x14ac:dyDescent="0.25">
      <c r="A42">
        <v>1980</v>
      </c>
      <c r="B42">
        <v>404</v>
      </c>
      <c r="C42" s="1">
        <v>404000000000</v>
      </c>
      <c r="D42">
        <v>9.2427743360618559E-3</v>
      </c>
      <c r="E42" s="1">
        <f t="shared" si="0"/>
        <v>127848101265.82278</v>
      </c>
      <c r="F42" s="1">
        <f t="shared" si="1"/>
        <v>5516645569620.2529</v>
      </c>
    </row>
    <row r="43" spans="1:6" x14ac:dyDescent="0.25">
      <c r="A43">
        <v>1981</v>
      </c>
      <c r="B43">
        <v>399</v>
      </c>
      <c r="C43" s="1">
        <v>399000000000</v>
      </c>
      <c r="D43">
        <v>9.6662943179906032E-3</v>
      </c>
      <c r="E43" s="1">
        <f t="shared" si="0"/>
        <v>126265822784.81012</v>
      </c>
      <c r="F43" s="1">
        <f t="shared" si="1"/>
        <v>5448370253164.5566</v>
      </c>
    </row>
    <row r="44" spans="1:6" x14ac:dyDescent="0.25">
      <c r="A44">
        <v>1982</v>
      </c>
      <c r="B44">
        <v>402</v>
      </c>
      <c r="C44" s="1">
        <v>402000000000</v>
      </c>
      <c r="D44">
        <v>1.008798312177793E-2</v>
      </c>
      <c r="E44" s="1">
        <f t="shared" si="0"/>
        <v>127215189873.41771</v>
      </c>
      <c r="F44" s="1">
        <f t="shared" si="1"/>
        <v>5489335443037.9736</v>
      </c>
    </row>
    <row r="45" spans="1:6" x14ac:dyDescent="0.25">
      <c r="A45">
        <v>1983</v>
      </c>
      <c r="B45">
        <v>412</v>
      </c>
      <c r="C45" s="1">
        <v>412000000000</v>
      </c>
      <c r="D45">
        <v>1.0519804352311091E-2</v>
      </c>
      <c r="E45" s="1">
        <f t="shared" si="0"/>
        <v>130379746835.44304</v>
      </c>
      <c r="F45" s="1">
        <f t="shared" si="1"/>
        <v>5625886075949.3672</v>
      </c>
    </row>
    <row r="46" spans="1:6" x14ac:dyDescent="0.25">
      <c r="A46">
        <v>1984</v>
      </c>
      <c r="B46">
        <v>438</v>
      </c>
      <c r="C46" s="1">
        <v>438000000000</v>
      </c>
      <c r="D46">
        <v>1.098795468772693E-2</v>
      </c>
      <c r="E46" s="1">
        <f t="shared" si="0"/>
        <v>138607594936.70886</v>
      </c>
      <c r="F46" s="1">
        <f t="shared" si="1"/>
        <v>5980917721518.9873</v>
      </c>
    </row>
    <row r="47" spans="1:6" x14ac:dyDescent="0.25">
      <c r="A47">
        <v>1985</v>
      </c>
      <c r="B47">
        <v>447</v>
      </c>
      <c r="C47" s="1">
        <v>447000000000</v>
      </c>
      <c r="D47">
        <v>1.1462292456715239E-2</v>
      </c>
      <c r="E47" s="1">
        <f t="shared" si="0"/>
        <v>141455696202.53165</v>
      </c>
      <c r="F47" s="1">
        <f t="shared" si="1"/>
        <v>6103813291139.2402</v>
      </c>
    </row>
    <row r="48" spans="1:6" x14ac:dyDescent="0.25">
      <c r="A48">
        <v>1986</v>
      </c>
      <c r="B48">
        <v>472</v>
      </c>
      <c r="C48" s="1">
        <v>472000000000</v>
      </c>
      <c r="D48">
        <v>1.1969518147731791E-2</v>
      </c>
      <c r="E48" s="1">
        <f t="shared" si="0"/>
        <v>149367088607.59494</v>
      </c>
      <c r="F48" s="1">
        <f t="shared" si="1"/>
        <v>6445189873417.7217</v>
      </c>
    </row>
    <row r="49" spans="1:6" x14ac:dyDescent="0.25">
      <c r="A49">
        <v>1987</v>
      </c>
      <c r="B49">
        <v>495</v>
      </c>
      <c r="C49" s="1">
        <v>495000000000</v>
      </c>
      <c r="D49">
        <v>1.250483397366998E-2</v>
      </c>
      <c r="E49" s="1">
        <f t="shared" si="0"/>
        <v>156645569620.25314</v>
      </c>
      <c r="F49" s="1">
        <f t="shared" si="1"/>
        <v>6759256329113.9229</v>
      </c>
    </row>
    <row r="50" spans="1:6" x14ac:dyDescent="0.25">
      <c r="A50">
        <v>1988</v>
      </c>
      <c r="B50">
        <v>522</v>
      </c>
      <c r="C50" s="1">
        <v>522000000000</v>
      </c>
      <c r="D50">
        <v>1.307386160541492E-2</v>
      </c>
      <c r="E50" s="1">
        <f t="shared" si="0"/>
        <v>165189873417.7215</v>
      </c>
      <c r="F50" s="1">
        <f t="shared" si="1"/>
        <v>7127943037974.6826</v>
      </c>
    </row>
    <row r="51" spans="1:6" x14ac:dyDescent="0.25">
      <c r="A51">
        <v>1989</v>
      </c>
      <c r="B51">
        <v>543</v>
      </c>
      <c r="C51" s="1">
        <v>543000000000</v>
      </c>
      <c r="D51">
        <v>1.366538123464958E-2</v>
      </c>
      <c r="E51" s="1">
        <f t="shared" si="0"/>
        <v>171835443037.97467</v>
      </c>
      <c r="F51" s="1">
        <f t="shared" si="1"/>
        <v>7414699367088.6064</v>
      </c>
    </row>
    <row r="52" spans="1:6" x14ac:dyDescent="0.25">
      <c r="A52">
        <v>1990</v>
      </c>
      <c r="B52">
        <v>545</v>
      </c>
      <c r="C52" s="1">
        <v>545000000000</v>
      </c>
      <c r="D52">
        <v>1.424735133390488E-2</v>
      </c>
      <c r="E52" s="1">
        <f t="shared" si="0"/>
        <v>172468354430.37973</v>
      </c>
      <c r="F52" s="1">
        <f t="shared" si="1"/>
        <v>7442009493670.8848</v>
      </c>
    </row>
    <row r="53" spans="1:6" x14ac:dyDescent="0.25">
      <c r="A53">
        <v>1991</v>
      </c>
      <c r="B53">
        <v>530</v>
      </c>
      <c r="C53" s="1">
        <v>530000000000</v>
      </c>
      <c r="D53">
        <v>1.479294940025867E-2</v>
      </c>
      <c r="E53" s="1">
        <f t="shared" si="0"/>
        <v>167721518987.34177</v>
      </c>
      <c r="F53" s="1">
        <f t="shared" si="1"/>
        <v>7237183544303.7969</v>
      </c>
    </row>
    <row r="54" spans="1:6" x14ac:dyDescent="0.25">
      <c r="A54">
        <v>1992</v>
      </c>
      <c r="B54">
        <v>527</v>
      </c>
      <c r="C54" s="1">
        <v>527000000000</v>
      </c>
      <c r="D54">
        <v>1.5324898199796429E-2</v>
      </c>
      <c r="E54" s="1">
        <f t="shared" si="0"/>
        <v>166772151898.73416</v>
      </c>
      <c r="F54" s="1">
        <f t="shared" si="1"/>
        <v>7196218354430.3789</v>
      </c>
    </row>
    <row r="55" spans="1:6" x14ac:dyDescent="0.25">
      <c r="A55">
        <v>1993</v>
      </c>
      <c r="B55">
        <v>534</v>
      </c>
      <c r="C55" s="1">
        <v>534000000000</v>
      </c>
      <c r="D55">
        <v>1.586092335398253E-2</v>
      </c>
      <c r="E55" s="1">
        <f t="shared" si="0"/>
        <v>168987341772.15189</v>
      </c>
      <c r="F55" s="1">
        <f t="shared" si="1"/>
        <v>7291803797468.3535</v>
      </c>
    </row>
    <row r="56" spans="1:6" x14ac:dyDescent="0.25">
      <c r="A56">
        <v>1994</v>
      </c>
      <c r="B56">
        <v>554</v>
      </c>
      <c r="C56" s="1">
        <v>554000000000</v>
      </c>
      <c r="D56">
        <v>1.6422568033915709E-2</v>
      </c>
      <c r="E56" s="1">
        <f t="shared" si="0"/>
        <v>175316455696.20251</v>
      </c>
      <c r="F56" s="1">
        <f t="shared" si="1"/>
        <v>7564905063291.1387</v>
      </c>
    </row>
    <row r="57" spans="1:6" x14ac:dyDescent="0.25">
      <c r="A57">
        <v>1995</v>
      </c>
      <c r="B57">
        <v>568</v>
      </c>
      <c r="C57" s="1">
        <v>568000000000</v>
      </c>
      <c r="D57">
        <v>1.6998575224684939E-2</v>
      </c>
      <c r="E57" s="1">
        <f t="shared" si="0"/>
        <v>179746835443.03796</v>
      </c>
      <c r="F57" s="1">
        <f t="shared" si="1"/>
        <v>7756075949367.0879</v>
      </c>
    </row>
    <row r="58" spans="1:6" x14ac:dyDescent="0.25">
      <c r="A58">
        <v>1996</v>
      </c>
      <c r="B58">
        <v>595</v>
      </c>
      <c r="C58" s="1">
        <v>595000000000</v>
      </c>
      <c r="D58">
        <v>1.7610057409573429E-2</v>
      </c>
      <c r="E58" s="1">
        <f t="shared" si="0"/>
        <v>188291139240.50632</v>
      </c>
      <c r="F58" s="1">
        <f t="shared" si="1"/>
        <v>8124762658227.8477</v>
      </c>
    </row>
    <row r="59" spans="1:6" x14ac:dyDescent="0.25">
      <c r="A59">
        <v>1997</v>
      </c>
      <c r="B59">
        <v>612</v>
      </c>
      <c r="C59" s="1">
        <v>612000000000</v>
      </c>
      <c r="D59">
        <v>1.8238758091190691E-2</v>
      </c>
      <c r="E59" s="1">
        <f t="shared" si="0"/>
        <v>193670886075.94937</v>
      </c>
      <c r="F59" s="1">
        <f t="shared" si="1"/>
        <v>8356898734177.2148</v>
      </c>
    </row>
    <row r="60" spans="1:6" x14ac:dyDescent="0.25">
      <c r="A60">
        <v>1998</v>
      </c>
      <c r="B60">
        <v>626</v>
      </c>
      <c r="C60" s="1">
        <v>626000000000</v>
      </c>
      <c r="D60">
        <v>1.8879299280513309E-2</v>
      </c>
      <c r="E60" s="1">
        <f t="shared" si="0"/>
        <v>198101265822.78479</v>
      </c>
      <c r="F60" s="1">
        <f t="shared" si="1"/>
        <v>8548069620253.1631</v>
      </c>
    </row>
    <row r="61" spans="1:6" x14ac:dyDescent="0.25">
      <c r="A61">
        <v>1999</v>
      </c>
      <c r="B61">
        <v>646</v>
      </c>
      <c r="C61" s="1">
        <v>646000000000</v>
      </c>
      <c r="D61">
        <v>1.954159024607411E-2</v>
      </c>
      <c r="E61" s="1">
        <f t="shared" si="0"/>
        <v>204430379746.83542</v>
      </c>
      <c r="F61" s="1">
        <f t="shared" si="1"/>
        <v>8821170886075.9473</v>
      </c>
    </row>
    <row r="62" spans="1:6" x14ac:dyDescent="0.25">
      <c r="A62">
        <v>2000</v>
      </c>
      <c r="B62">
        <v>681</v>
      </c>
      <c r="C62" s="1">
        <v>681000000000</v>
      </c>
      <c r="D62">
        <v>2.024989099329123E-2</v>
      </c>
      <c r="E62" s="1">
        <f t="shared" si="0"/>
        <v>215506329113.92404</v>
      </c>
      <c r="F62" s="1">
        <f t="shared" si="1"/>
        <v>9299098101265.8223</v>
      </c>
    </row>
    <row r="63" spans="1:6" x14ac:dyDescent="0.25">
      <c r="A63">
        <v>2001</v>
      </c>
      <c r="B63">
        <v>662</v>
      </c>
      <c r="C63" s="1">
        <v>662000000000</v>
      </c>
      <c r="D63">
        <v>2.0912587632494789E-2</v>
      </c>
      <c r="E63" s="1">
        <f t="shared" si="0"/>
        <v>209493670886.07593</v>
      </c>
      <c r="F63" s="1">
        <f t="shared" si="1"/>
        <v>9039651898734.1758</v>
      </c>
    </row>
    <row r="64" spans="1:6" x14ac:dyDescent="0.25">
      <c r="A64">
        <v>2002</v>
      </c>
      <c r="B64">
        <v>658</v>
      </c>
      <c r="C64" s="1">
        <v>658000000000</v>
      </c>
      <c r="D64">
        <v>2.1558135941352839E-2</v>
      </c>
      <c r="E64" s="1">
        <f t="shared" si="0"/>
        <v>208227848101.26581</v>
      </c>
      <c r="F64" s="1">
        <f t="shared" si="1"/>
        <v>8985031645569.6191</v>
      </c>
    </row>
    <row r="65" spans="1:6" x14ac:dyDescent="0.25">
      <c r="A65">
        <v>2003</v>
      </c>
      <c r="B65">
        <v>662</v>
      </c>
      <c r="C65" s="1">
        <v>662000000000</v>
      </c>
      <c r="D65">
        <v>2.220126245781703E-2</v>
      </c>
      <c r="E65" s="1">
        <f t="shared" si="0"/>
        <v>209493670886.07593</v>
      </c>
      <c r="F65" s="1">
        <f t="shared" si="1"/>
        <v>9039651898734.1758</v>
      </c>
    </row>
    <row r="66" spans="1:6" x14ac:dyDescent="0.25">
      <c r="A66">
        <v>2004</v>
      </c>
      <c r="B66">
        <v>697</v>
      </c>
      <c r="C66" s="1">
        <v>697000000000</v>
      </c>
      <c r="D66">
        <v>2.2893814814486501E-2</v>
      </c>
      <c r="E66" s="1">
        <f t="shared" si="0"/>
        <v>220569620253.16455</v>
      </c>
      <c r="F66" s="1">
        <f t="shared" si="1"/>
        <v>9517579113924.0508</v>
      </c>
    </row>
    <row r="67" spans="1:6" x14ac:dyDescent="0.25">
      <c r="A67">
        <v>2005</v>
      </c>
      <c r="B67">
        <v>733</v>
      </c>
      <c r="C67" s="1">
        <v>733000000000</v>
      </c>
      <c r="D67">
        <v>2.36348022139195E-2</v>
      </c>
      <c r="E67" s="1">
        <f t="shared" ref="E67:E112" si="2">C67/3.16</f>
        <v>231962025316.45569</v>
      </c>
      <c r="F67" s="1">
        <f t="shared" ref="F67:F112" si="3">43.15*E67</f>
        <v>10009161392405.063</v>
      </c>
    </row>
    <row r="68" spans="1:6" x14ac:dyDescent="0.25">
      <c r="A68">
        <v>2006</v>
      </c>
      <c r="B68">
        <v>748</v>
      </c>
      <c r="C68" s="1">
        <v>748000000000</v>
      </c>
      <c r="D68">
        <v>2.438712253311056E-2</v>
      </c>
      <c r="E68" s="1">
        <f t="shared" si="2"/>
        <v>236708860759.49365</v>
      </c>
      <c r="F68" s="1">
        <f t="shared" si="3"/>
        <v>10213987341772.15</v>
      </c>
    </row>
    <row r="69" spans="1:6" x14ac:dyDescent="0.25">
      <c r="A69">
        <v>2007</v>
      </c>
      <c r="B69">
        <v>763</v>
      </c>
      <c r="C69" s="1">
        <v>763000000000</v>
      </c>
      <c r="D69">
        <v>2.515092637605254E-2</v>
      </c>
      <c r="E69" s="1">
        <f t="shared" si="2"/>
        <v>241455696202.53165</v>
      </c>
      <c r="F69" s="1">
        <f t="shared" si="3"/>
        <v>10418813291139.24</v>
      </c>
    </row>
    <row r="70" spans="1:6" x14ac:dyDescent="0.25">
      <c r="A70">
        <v>2008</v>
      </c>
      <c r="B70">
        <v>753</v>
      </c>
      <c r="C70" s="1">
        <v>753000000000</v>
      </c>
      <c r="D70">
        <v>2.5884860372623199E-2</v>
      </c>
      <c r="E70" s="1">
        <f t="shared" si="2"/>
        <v>238291139240.50632</v>
      </c>
      <c r="F70" s="1">
        <f t="shared" si="3"/>
        <v>10282262658227.848</v>
      </c>
    </row>
    <row r="71" spans="1:6" x14ac:dyDescent="0.25">
      <c r="A71">
        <v>2009</v>
      </c>
      <c r="B71">
        <v>724</v>
      </c>
      <c r="C71" s="1">
        <v>724000000000</v>
      </c>
      <c r="D71">
        <v>2.6559900463109971E-2</v>
      </c>
      <c r="E71" s="1">
        <f t="shared" si="2"/>
        <v>229113924050.6329</v>
      </c>
      <c r="F71" s="1">
        <f t="shared" si="3"/>
        <v>9886265822784.8086</v>
      </c>
    </row>
    <row r="72" spans="1:6" x14ac:dyDescent="0.25">
      <c r="A72">
        <v>2010</v>
      </c>
      <c r="B72">
        <v>755</v>
      </c>
      <c r="C72" s="1">
        <v>755000000000</v>
      </c>
      <c r="D72">
        <v>2.7279362094472851E-2</v>
      </c>
      <c r="E72" s="1">
        <f t="shared" si="2"/>
        <v>238924050632.91138</v>
      </c>
      <c r="F72" s="1">
        <f t="shared" si="3"/>
        <v>10309572784810.125</v>
      </c>
    </row>
    <row r="73" spans="1:6" x14ac:dyDescent="0.25">
      <c r="A73">
        <v>2011</v>
      </c>
      <c r="B73">
        <v>781</v>
      </c>
      <c r="C73" s="1">
        <v>781000000000</v>
      </c>
      <c r="D73">
        <v>2.8032329592180341E-2</v>
      </c>
      <c r="E73" s="1">
        <f t="shared" si="2"/>
        <v>247151898734.17722</v>
      </c>
      <c r="F73" s="1">
        <f t="shared" si="3"/>
        <v>10664604430379.746</v>
      </c>
    </row>
    <row r="74" spans="1:6" x14ac:dyDescent="0.25">
      <c r="A74">
        <v>2012</v>
      </c>
      <c r="B74">
        <v>789</v>
      </c>
      <c r="C74" s="1">
        <v>789000000000</v>
      </c>
      <c r="D74">
        <v>2.8787313341459401E-2</v>
      </c>
      <c r="E74" s="1">
        <f t="shared" si="2"/>
        <v>249683544303.79745</v>
      </c>
      <c r="F74" s="1">
        <f t="shared" si="3"/>
        <v>10773844936708.859</v>
      </c>
    </row>
    <row r="75" spans="1:6" x14ac:dyDescent="0.25">
      <c r="A75">
        <v>2013</v>
      </c>
      <c r="B75">
        <v>815</v>
      </c>
      <c r="C75" s="1">
        <v>815000000000</v>
      </c>
      <c r="D75">
        <v>2.957451619145561E-2</v>
      </c>
      <c r="E75" s="1">
        <f t="shared" si="2"/>
        <v>257911392405.06329</v>
      </c>
      <c r="F75" s="1">
        <f t="shared" si="3"/>
        <v>11128876582278.48</v>
      </c>
    </row>
    <row r="76" spans="1:6" x14ac:dyDescent="0.25">
      <c r="A76">
        <v>2014</v>
      </c>
      <c r="B76">
        <v>840</v>
      </c>
      <c r="C76" s="1">
        <v>840000000000</v>
      </c>
      <c r="D76">
        <v>3.0390845321329529E-2</v>
      </c>
      <c r="E76" s="1">
        <f t="shared" si="2"/>
        <v>265822784810.12656</v>
      </c>
      <c r="F76" s="1">
        <f t="shared" si="3"/>
        <v>11470253164556.961</v>
      </c>
    </row>
    <row r="77" spans="1:6" x14ac:dyDescent="0.25">
      <c r="A77">
        <v>2015</v>
      </c>
      <c r="B77">
        <v>881</v>
      </c>
      <c r="C77" s="1">
        <v>881000000000</v>
      </c>
      <c r="D77">
        <v>3.1261714979036993E-2</v>
      </c>
      <c r="E77" s="1">
        <f t="shared" si="2"/>
        <v>278797468354.43036</v>
      </c>
      <c r="F77" s="1">
        <f t="shared" si="3"/>
        <v>12030110759493.67</v>
      </c>
    </row>
    <row r="78" spans="1:6" x14ac:dyDescent="0.25">
      <c r="A78">
        <v>2016</v>
      </c>
      <c r="B78">
        <v>935</v>
      </c>
      <c r="C78" s="1">
        <v>935000000000</v>
      </c>
      <c r="D78">
        <v>3.2206199696633797E-2</v>
      </c>
      <c r="E78" s="1">
        <f t="shared" si="2"/>
        <v>295886075949.36707</v>
      </c>
      <c r="F78" s="1">
        <f t="shared" si="3"/>
        <v>12767484177215.188</v>
      </c>
    </row>
    <row r="79" spans="1:6" x14ac:dyDescent="0.25">
      <c r="A79">
        <v>2017</v>
      </c>
      <c r="B79">
        <v>989</v>
      </c>
      <c r="C79" s="1">
        <v>989000000000</v>
      </c>
      <c r="D79">
        <v>3.3221001714323461E-2</v>
      </c>
      <c r="E79" s="1">
        <f t="shared" si="2"/>
        <v>312974683544.30377</v>
      </c>
      <c r="F79" s="1">
        <f t="shared" si="3"/>
        <v>13504857594936.707</v>
      </c>
    </row>
    <row r="80" spans="1:6" x14ac:dyDescent="0.25">
      <c r="A80">
        <v>2018</v>
      </c>
      <c r="B80">
        <v>1036</v>
      </c>
      <c r="C80" s="1">
        <v>1036000000000</v>
      </c>
      <c r="D80">
        <v>3.429178455028066E-2</v>
      </c>
      <c r="E80" s="1">
        <f t="shared" si="2"/>
        <v>327848101265.82275</v>
      </c>
      <c r="F80" s="1">
        <f t="shared" si="3"/>
        <v>14146645569620.252</v>
      </c>
    </row>
    <row r="81" spans="1:6" x14ac:dyDescent="0.25">
      <c r="A81">
        <v>2019</v>
      </c>
      <c r="B81">
        <v>1052.2017780000001</v>
      </c>
      <c r="C81" s="1">
        <v>1052201778000.0001</v>
      </c>
      <c r="D81">
        <v>3.5365935743814719E-2</v>
      </c>
      <c r="E81" s="1">
        <f t="shared" si="2"/>
        <v>332975246202.53168</v>
      </c>
      <c r="F81" s="1">
        <f t="shared" si="3"/>
        <v>14367881873639.242</v>
      </c>
    </row>
    <row r="82" spans="1:6" x14ac:dyDescent="0.25">
      <c r="A82">
        <v>2020</v>
      </c>
      <c r="B82">
        <v>587.66867190000005</v>
      </c>
      <c r="C82" s="1">
        <f>B82*1000000000</f>
        <v>587668671900</v>
      </c>
      <c r="D82">
        <v>3.5649408352655607E-2</v>
      </c>
      <c r="E82" s="1">
        <f>C82/3.16</f>
        <v>185971098702.53165</v>
      </c>
      <c r="F82" s="1">
        <f t="shared" si="3"/>
        <v>8024652909014.2402</v>
      </c>
    </row>
    <row r="83" spans="1:6" x14ac:dyDescent="0.25">
      <c r="A83">
        <v>2021</v>
      </c>
      <c r="B83">
        <v>672.16843900000003</v>
      </c>
      <c r="C83" s="1">
        <f t="shared" ref="C83:C85" si="4">B83*1000000000</f>
        <v>672168439000</v>
      </c>
      <c r="D83">
        <v>3.6098315985903302E-2</v>
      </c>
      <c r="E83" s="1">
        <f t="shared" si="2"/>
        <v>212711531329.11392</v>
      </c>
      <c r="F83" s="1">
        <f t="shared" si="3"/>
        <v>9178502576851.2656</v>
      </c>
    </row>
    <row r="84" spans="1:6" x14ac:dyDescent="0.25">
      <c r="A84">
        <v>2022</v>
      </c>
      <c r="B84">
        <v>821.87574199999995</v>
      </c>
      <c r="C84" s="1">
        <f t="shared" si="4"/>
        <v>821875742000</v>
      </c>
      <c r="D84">
        <v>3.6806733294282003E-2</v>
      </c>
      <c r="E84" s="1">
        <f t="shared" si="2"/>
        <v>260087260126.58228</v>
      </c>
      <c r="F84" s="1">
        <f t="shared" si="3"/>
        <v>11222765274462.025</v>
      </c>
    </row>
    <row r="85" spans="1:6" x14ac:dyDescent="0.25">
      <c r="A85">
        <v>2023</v>
      </c>
      <c r="B85">
        <v>965.74095910000005</v>
      </c>
      <c r="C85" s="1">
        <f t="shared" si="4"/>
        <v>965740959100</v>
      </c>
      <c r="D85">
        <v>3.7747551219110963E-2</v>
      </c>
      <c r="E85" s="1">
        <f t="shared" si="2"/>
        <v>305614227563.29114</v>
      </c>
      <c r="F85" s="1">
        <f t="shared" si="3"/>
        <v>13187253919356.012</v>
      </c>
    </row>
    <row r="86" spans="1:6" x14ac:dyDescent="0.25">
      <c r="A86">
        <v>2024</v>
      </c>
      <c r="B86">
        <v>0</v>
      </c>
      <c r="C86" s="1">
        <v>0</v>
      </c>
      <c r="D86">
        <v>3.7071355904469923E-2</v>
      </c>
      <c r="E86" s="1">
        <f t="shared" si="2"/>
        <v>0</v>
      </c>
      <c r="F86" s="1">
        <f t="shared" si="3"/>
        <v>0</v>
      </c>
    </row>
    <row r="87" spans="1:6" x14ac:dyDescent="0.25">
      <c r="A87">
        <v>2025</v>
      </c>
      <c r="B87">
        <v>0</v>
      </c>
      <c r="C87" s="1">
        <v>0</v>
      </c>
      <c r="D87">
        <v>3.64710982082826E-2</v>
      </c>
      <c r="E87" s="1">
        <f t="shared" si="2"/>
        <v>0</v>
      </c>
      <c r="F87" s="1">
        <f t="shared" si="3"/>
        <v>0</v>
      </c>
    </row>
    <row r="88" spans="1:6" x14ac:dyDescent="0.25">
      <c r="A88">
        <v>2026</v>
      </c>
      <c r="B88">
        <v>0</v>
      </c>
      <c r="C88" s="1">
        <v>0</v>
      </c>
      <c r="D88">
        <v>3.5932432990099322E-2</v>
      </c>
      <c r="E88" s="1">
        <f t="shared" si="2"/>
        <v>0</v>
      </c>
      <c r="F88" s="1">
        <f t="shared" si="3"/>
        <v>0</v>
      </c>
    </row>
    <row r="89" spans="1:6" x14ac:dyDescent="0.25">
      <c r="A89">
        <v>2027</v>
      </c>
      <c r="B89">
        <v>0</v>
      </c>
      <c r="C89" s="1">
        <v>0</v>
      </c>
      <c r="D89">
        <v>3.5444069626361832E-2</v>
      </c>
      <c r="E89" s="1">
        <f t="shared" si="2"/>
        <v>0</v>
      </c>
      <c r="F89" s="1">
        <f t="shared" si="3"/>
        <v>0</v>
      </c>
    </row>
    <row r="90" spans="1:6" x14ac:dyDescent="0.25">
      <c r="A90">
        <v>2028</v>
      </c>
      <c r="B90">
        <v>0</v>
      </c>
      <c r="C90" s="1">
        <v>0</v>
      </c>
      <c r="D90">
        <v>3.4997108076442227E-2</v>
      </c>
      <c r="E90" s="1">
        <f t="shared" si="2"/>
        <v>0</v>
      </c>
      <c r="F90" s="1">
        <f t="shared" si="3"/>
        <v>0</v>
      </c>
    </row>
    <row r="91" spans="1:6" x14ac:dyDescent="0.25">
      <c r="A91">
        <v>2029</v>
      </c>
      <c r="B91">
        <v>0</v>
      </c>
      <c r="C91" s="1">
        <v>0</v>
      </c>
      <c r="D91">
        <v>3.4584519640704831E-2</v>
      </c>
      <c r="E91" s="1">
        <f t="shared" si="2"/>
        <v>0</v>
      </c>
      <c r="F91" s="1">
        <f t="shared" si="3"/>
        <v>0</v>
      </c>
    </row>
    <row r="92" spans="1:6" x14ac:dyDescent="0.25">
      <c r="A92">
        <v>2030</v>
      </c>
      <c r="B92">
        <v>0</v>
      </c>
      <c r="C92" s="1">
        <v>0</v>
      </c>
      <c r="D92">
        <v>3.4200740905362813E-2</v>
      </c>
      <c r="E92" s="1">
        <f t="shared" si="2"/>
        <v>0</v>
      </c>
      <c r="F92" s="1">
        <f t="shared" si="3"/>
        <v>0</v>
      </c>
    </row>
    <row r="93" spans="1:6" x14ac:dyDescent="0.25">
      <c r="A93">
        <v>2031</v>
      </c>
      <c r="B93">
        <v>0</v>
      </c>
      <c r="C93" s="1">
        <v>0</v>
      </c>
      <c r="D93">
        <v>3.3841356212159952E-2</v>
      </c>
      <c r="E93" s="1">
        <f t="shared" si="2"/>
        <v>0</v>
      </c>
      <c r="F93" s="1">
        <f t="shared" si="3"/>
        <v>0</v>
      </c>
    </row>
    <row r="94" spans="1:6" x14ac:dyDescent="0.25">
      <c r="A94">
        <v>2032</v>
      </c>
      <c r="B94">
        <v>0</v>
      </c>
      <c r="C94" s="1">
        <v>0</v>
      </c>
      <c r="D94">
        <v>3.3502849354361527E-2</v>
      </c>
      <c r="E94" s="1">
        <f t="shared" si="2"/>
        <v>0</v>
      </c>
      <c r="F94" s="1">
        <f t="shared" si="3"/>
        <v>0</v>
      </c>
    </row>
    <row r="95" spans="1:6" x14ac:dyDescent="0.25">
      <c r="A95">
        <v>2033</v>
      </c>
      <c r="B95">
        <v>0</v>
      </c>
      <c r="C95" s="1">
        <v>0</v>
      </c>
      <c r="D95">
        <v>3.3182409401626853E-2</v>
      </c>
      <c r="E95" s="1">
        <f t="shared" si="2"/>
        <v>0</v>
      </c>
      <c r="F95" s="1">
        <f t="shared" si="3"/>
        <v>0</v>
      </c>
    </row>
    <row r="96" spans="1:6" x14ac:dyDescent="0.25">
      <c r="A96">
        <v>2034</v>
      </c>
      <c r="B96">
        <v>0</v>
      </c>
      <c r="C96" s="1">
        <v>0</v>
      </c>
      <c r="D96">
        <v>3.2877778845472383E-2</v>
      </c>
      <c r="E96" s="1">
        <f t="shared" si="2"/>
        <v>0</v>
      </c>
      <c r="F96" s="1">
        <f t="shared" si="3"/>
        <v>0</v>
      </c>
    </row>
    <row r="97" spans="1:6" x14ac:dyDescent="0.25">
      <c r="A97">
        <v>2035</v>
      </c>
      <c r="B97">
        <v>0</v>
      </c>
      <c r="C97" s="1">
        <v>0</v>
      </c>
      <c r="D97">
        <v>3.2587134831006628E-2</v>
      </c>
      <c r="E97" s="1">
        <f t="shared" si="2"/>
        <v>0</v>
      </c>
      <c r="F97" s="1">
        <f t="shared" si="3"/>
        <v>0</v>
      </c>
    </row>
    <row r="98" spans="1:6" x14ac:dyDescent="0.25">
      <c r="A98">
        <v>2036</v>
      </c>
      <c r="B98">
        <v>0</v>
      </c>
      <c r="C98" s="1">
        <v>0</v>
      </c>
      <c r="D98">
        <v>3.2308996254557847E-2</v>
      </c>
      <c r="E98" s="1">
        <f t="shared" si="2"/>
        <v>0</v>
      </c>
      <c r="F98" s="1">
        <f t="shared" si="3"/>
        <v>0</v>
      </c>
    </row>
    <row r="99" spans="1:6" x14ac:dyDescent="0.25">
      <c r="A99">
        <v>2037</v>
      </c>
      <c r="B99">
        <v>0</v>
      </c>
      <c r="C99" s="1">
        <v>0</v>
      </c>
      <c r="D99">
        <v>3.2042151082011791E-2</v>
      </c>
      <c r="E99" s="1">
        <f t="shared" si="2"/>
        <v>0</v>
      </c>
      <c r="F99" s="1">
        <f t="shared" si="3"/>
        <v>0</v>
      </c>
    </row>
    <row r="100" spans="1:6" x14ac:dyDescent="0.25">
      <c r="A100">
        <v>2038</v>
      </c>
      <c r="B100">
        <v>0</v>
      </c>
      <c r="C100" s="1">
        <v>0</v>
      </c>
      <c r="D100">
        <v>3.1785599474626988E-2</v>
      </c>
      <c r="E100" s="1">
        <f t="shared" si="2"/>
        <v>0</v>
      </c>
      <c r="F100" s="1">
        <f t="shared" si="3"/>
        <v>0</v>
      </c>
    </row>
    <row r="101" spans="1:6" x14ac:dyDescent="0.25">
      <c r="A101">
        <v>2039</v>
      </c>
      <c r="B101">
        <v>0</v>
      </c>
      <c r="C101" s="1">
        <v>0</v>
      </c>
      <c r="D101">
        <v>3.1538509272384337E-2</v>
      </c>
      <c r="E101" s="1">
        <f t="shared" si="2"/>
        <v>0</v>
      </c>
      <c r="F101" s="1">
        <f t="shared" si="3"/>
        <v>0</v>
      </c>
    </row>
    <row r="102" spans="1:6" x14ac:dyDescent="0.25">
      <c r="A102">
        <v>2040</v>
      </c>
      <c r="B102">
        <v>0</v>
      </c>
      <c r="C102" s="1">
        <v>0</v>
      </c>
      <c r="D102">
        <v>3.1300181138052857E-2</v>
      </c>
      <c r="E102" s="1">
        <f t="shared" si="2"/>
        <v>0</v>
      </c>
      <c r="F102" s="1">
        <f t="shared" si="3"/>
        <v>0</v>
      </c>
    </row>
    <row r="103" spans="1:6" x14ac:dyDescent="0.25">
      <c r="A103">
        <v>2041</v>
      </c>
      <c r="B103">
        <v>0</v>
      </c>
      <c r="C103" s="1">
        <v>0</v>
      </c>
      <c r="D103">
        <v>3.1070021254005729E-2</v>
      </c>
      <c r="E103" s="1">
        <f t="shared" si="2"/>
        <v>0</v>
      </c>
      <c r="F103" s="1">
        <f t="shared" si="3"/>
        <v>0</v>
      </c>
    </row>
    <row r="104" spans="1:6" x14ac:dyDescent="0.25">
      <c r="A104">
        <v>2042</v>
      </c>
      <c r="B104">
        <v>0</v>
      </c>
      <c r="C104" s="1">
        <v>0</v>
      </c>
      <c r="D104">
        <v>3.0847519924064211E-2</v>
      </c>
      <c r="E104" s="1">
        <f t="shared" si="2"/>
        <v>0</v>
      </c>
      <c r="F104" s="1">
        <f t="shared" si="3"/>
        <v>0</v>
      </c>
    </row>
    <row r="105" spans="1:6" x14ac:dyDescent="0.25">
      <c r="A105">
        <v>2043</v>
      </c>
      <c r="B105">
        <v>0</v>
      </c>
      <c r="C105" s="1">
        <v>0</v>
      </c>
      <c r="D105">
        <v>3.0632234792470469E-2</v>
      </c>
      <c r="E105" s="1">
        <f t="shared" si="2"/>
        <v>0</v>
      </c>
      <c r="F105" s="1">
        <f t="shared" si="3"/>
        <v>0</v>
      </c>
    </row>
    <row r="106" spans="1:6" x14ac:dyDescent="0.25">
      <c r="A106">
        <v>2044</v>
      </c>
      <c r="B106">
        <v>0</v>
      </c>
      <c r="C106" s="1">
        <v>0</v>
      </c>
      <c r="D106">
        <v>3.042377767332563E-2</v>
      </c>
      <c r="E106" s="1">
        <f t="shared" si="2"/>
        <v>0</v>
      </c>
      <c r="F106" s="1">
        <f t="shared" si="3"/>
        <v>0</v>
      </c>
    </row>
    <row r="107" spans="1:6" x14ac:dyDescent="0.25">
      <c r="A107">
        <v>2045</v>
      </c>
      <c r="B107">
        <v>0</v>
      </c>
      <c r="C107" s="1">
        <v>0</v>
      </c>
      <c r="D107">
        <v>3.0221804203657981E-2</v>
      </c>
      <c r="E107" s="1">
        <f t="shared" si="2"/>
        <v>0</v>
      </c>
      <c r="F107" s="1">
        <f t="shared" si="3"/>
        <v>0</v>
      </c>
    </row>
    <row r="108" spans="1:6" x14ac:dyDescent="0.25">
      <c r="A108">
        <v>2046</v>
      </c>
      <c r="B108">
        <v>0</v>
      </c>
      <c r="C108" s="1">
        <v>0</v>
      </c>
      <c r="D108">
        <v>3.002600570509599E-2</v>
      </c>
      <c r="E108" s="1">
        <f t="shared" si="2"/>
        <v>0</v>
      </c>
      <c r="F108" s="1">
        <f t="shared" si="3"/>
        <v>0</v>
      </c>
    </row>
    <row r="109" spans="1:6" x14ac:dyDescent="0.25">
      <c r="A109">
        <v>2047</v>
      </c>
      <c r="B109">
        <v>0</v>
      </c>
      <c r="C109" s="1">
        <v>0</v>
      </c>
      <c r="D109">
        <v>2.983610277342516E-2</v>
      </c>
      <c r="E109" s="1">
        <f t="shared" si="2"/>
        <v>0</v>
      </c>
      <c r="F109" s="1">
        <f t="shared" si="3"/>
        <v>0</v>
      </c>
    </row>
    <row r="110" spans="1:6" x14ac:dyDescent="0.25">
      <c r="A110">
        <v>2048</v>
      </c>
      <c r="B110">
        <v>0</v>
      </c>
      <c r="C110" s="1">
        <v>0</v>
      </c>
      <c r="D110">
        <v>2.9651840220256589E-2</v>
      </c>
      <c r="E110" s="1">
        <f t="shared" si="2"/>
        <v>0</v>
      </c>
      <c r="F110" s="1">
        <f t="shared" si="3"/>
        <v>0</v>
      </c>
    </row>
    <row r="111" spans="1:6" x14ac:dyDescent="0.25">
      <c r="A111">
        <v>2049</v>
      </c>
      <c r="B111">
        <v>0</v>
      </c>
      <c r="C111" s="1">
        <v>0</v>
      </c>
      <c r="D111">
        <v>2.9472983073083509E-2</v>
      </c>
      <c r="E111" s="1">
        <f t="shared" si="2"/>
        <v>0</v>
      </c>
      <c r="F111" s="1">
        <f t="shared" si="3"/>
        <v>0</v>
      </c>
    </row>
    <row r="112" spans="1:6" x14ac:dyDescent="0.25">
      <c r="A112">
        <v>2050</v>
      </c>
      <c r="B112">
        <v>0</v>
      </c>
      <c r="C112" s="1">
        <v>0</v>
      </c>
      <c r="D112">
        <v>2.9299313404097221E-2</v>
      </c>
      <c r="E112" s="1">
        <f t="shared" si="2"/>
        <v>0</v>
      </c>
      <c r="F112" s="1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Anne-Quantit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2025-05-22T15:12:07Z</dcterms:created>
  <dcterms:modified xsi:type="dcterms:W3CDTF">2025-10-16T13:28:17Z</dcterms:modified>
</cp:coreProperties>
</file>